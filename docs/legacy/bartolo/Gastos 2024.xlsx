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629f75aeb2ff2d/0 A municipalidad de San Pedro Norte/Economía/Gastos/"/>
    </mc:Choice>
  </mc:AlternateContent>
  <xr:revisionPtr revIDLastSave="1" documentId="8_{8677BE1F-3571-480E-9052-2850F3FBB28F}" xr6:coauthVersionLast="47" xr6:coauthVersionMax="47" xr10:uidLastSave="{B548556B-7E7D-47E4-898F-8F4837F19445}"/>
  <bookViews>
    <workbookView xWindow="-120" yWindow="-120" windowWidth="29040" windowHeight="15720" firstSheet="3" activeTab="3" xr2:uid="{5050F79B-95BC-4AF2-B64C-8BE0D61A44AF}"/>
  </bookViews>
  <sheets>
    <sheet name="Aumeno" sheetId="1" r:id="rId1"/>
    <sheet name="Empleados" sheetId="2" r:id="rId2"/>
    <sheet name="Prof y pub" sheetId="3" r:id="rId3"/>
    <sheet name="Gastos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5" i="4" l="1"/>
  <c r="L88" i="4"/>
  <c r="B85" i="4"/>
  <c r="G81" i="4"/>
  <c r="C81" i="4"/>
  <c r="L9" i="4"/>
  <c r="K86" i="4" s="1"/>
  <c r="AC103" i="3"/>
  <c r="M70" i="3"/>
  <c r="K70" i="3"/>
  <c r="AA67" i="3"/>
  <c r="Z67" i="3"/>
  <c r="Y67" i="3"/>
  <c r="X67" i="3"/>
  <c r="V67" i="3"/>
  <c r="U67" i="3"/>
  <c r="T67" i="3"/>
  <c r="S67" i="3"/>
  <c r="R67" i="3"/>
  <c r="Q67" i="3"/>
  <c r="P67" i="3"/>
  <c r="O67" i="3"/>
  <c r="M67" i="3"/>
  <c r="L67" i="3"/>
  <c r="K67" i="3"/>
  <c r="J67" i="3"/>
  <c r="I67" i="3"/>
  <c r="AA59" i="3"/>
  <c r="Z59" i="3"/>
  <c r="Y59" i="3"/>
  <c r="X59" i="3"/>
  <c r="V59" i="3"/>
  <c r="U59" i="3"/>
  <c r="T59" i="3"/>
  <c r="S59" i="3"/>
  <c r="R59" i="3"/>
  <c r="Q59" i="3"/>
  <c r="P59" i="3"/>
  <c r="O59" i="3"/>
  <c r="M59" i="3"/>
  <c r="L59" i="3"/>
  <c r="K59" i="3"/>
  <c r="J59" i="3"/>
  <c r="I59" i="3"/>
  <c r="H59" i="3"/>
  <c r="G59" i="3"/>
  <c r="G70" i="3" s="1"/>
  <c r="F59" i="3"/>
  <c r="F70" i="3" s="1"/>
  <c r="E59" i="3"/>
  <c r="E70" i="3" s="1"/>
  <c r="D59" i="3"/>
  <c r="D70" i="3" s="1"/>
  <c r="C59" i="3"/>
  <c r="B59" i="3"/>
  <c r="B70" i="3" s="1"/>
  <c r="AA33" i="3"/>
  <c r="AA70" i="3" s="1"/>
  <c r="Z33" i="3"/>
  <c r="Y33" i="3"/>
  <c r="Y70" i="3" s="1"/>
  <c r="X33" i="3"/>
  <c r="X70" i="3" s="1"/>
  <c r="V33" i="3"/>
  <c r="V70" i="3" s="1"/>
  <c r="U33" i="3"/>
  <c r="U70" i="3" s="1"/>
  <c r="T33" i="3"/>
  <c r="T70" i="3" s="1"/>
  <c r="S33" i="3"/>
  <c r="S70" i="3" s="1"/>
  <c r="R33" i="3"/>
  <c r="R70" i="3" s="1"/>
  <c r="Q33" i="3"/>
  <c r="Q70" i="3" s="1"/>
  <c r="P33" i="3"/>
  <c r="P70" i="3" s="1"/>
  <c r="O33" i="3"/>
  <c r="O70" i="3" s="1"/>
  <c r="M33" i="3"/>
  <c r="L33" i="3"/>
  <c r="L70" i="3" s="1"/>
  <c r="K33" i="3"/>
  <c r="J33" i="3"/>
  <c r="J70" i="3" s="1"/>
  <c r="I33" i="3"/>
  <c r="I70" i="3" s="1"/>
  <c r="H33" i="3"/>
  <c r="H70" i="3" s="1"/>
  <c r="G33" i="3"/>
  <c r="E33" i="3"/>
  <c r="D33" i="3"/>
  <c r="C33" i="3"/>
  <c r="C70" i="3" s="1"/>
  <c r="B33" i="3"/>
  <c r="AR92" i="2"/>
  <c r="AQ92" i="2"/>
  <c r="AO92" i="2"/>
  <c r="AR91" i="2"/>
  <c r="AQ91" i="2"/>
  <c r="AO91" i="2"/>
  <c r="AR89" i="2"/>
  <c r="AQ89" i="2"/>
  <c r="AO89" i="2"/>
  <c r="AR88" i="2"/>
  <c r="AQ88" i="2"/>
  <c r="AO88" i="2"/>
  <c r="AS85" i="2"/>
  <c r="AR85" i="2"/>
  <c r="AQ85" i="2"/>
  <c r="AO85" i="2"/>
  <c r="AN85" i="2"/>
  <c r="AM85" i="2"/>
  <c r="AL85" i="2"/>
  <c r="AK85" i="2"/>
  <c r="AI85" i="2"/>
  <c r="AH85" i="2"/>
  <c r="AG85" i="2"/>
  <c r="AF85" i="2"/>
  <c r="AE85" i="2"/>
  <c r="AD85" i="2"/>
  <c r="AC85" i="2"/>
  <c r="AB85" i="2"/>
  <c r="AA85" i="2"/>
  <c r="Z85" i="2"/>
  <c r="X85" i="2"/>
  <c r="W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B85" i="2"/>
  <c r="AI83" i="2"/>
  <c r="AI77" i="2"/>
  <c r="AI76" i="2"/>
  <c r="AI73" i="2"/>
  <c r="AI72" i="2"/>
  <c r="AI71" i="2"/>
  <c r="AI70" i="2"/>
  <c r="AI69" i="2"/>
  <c r="AI68" i="2"/>
  <c r="AI67" i="2"/>
  <c r="AI65" i="2"/>
  <c r="AI64" i="2"/>
  <c r="AI62" i="2"/>
  <c r="AI51" i="2"/>
  <c r="AI48" i="2"/>
  <c r="AI47" i="2"/>
  <c r="AI37" i="2"/>
  <c r="AI30" i="2"/>
  <c r="AI20" i="2"/>
  <c r="AI19" i="2"/>
  <c r="AI18" i="2"/>
  <c r="J55" i="1"/>
  <c r="I2" i="1"/>
  <c r="H2" i="1"/>
  <c r="D2" i="1"/>
  <c r="Z70" i="3" l="1"/>
  <c r="Y144" i="3" s="1"/>
</calcChain>
</file>

<file path=xl/sharedStrings.xml><?xml version="1.0" encoding="utf-8"?>
<sst xmlns="http://schemas.openxmlformats.org/spreadsheetml/2006/main" count="2815" uniqueCount="1106">
  <si>
    <t>Enfermeras</t>
  </si>
  <si>
    <t>Enero</t>
  </si>
  <si>
    <t>Aumento</t>
  </si>
  <si>
    <t>Auxiliares</t>
  </si>
  <si>
    <t>Empleado</t>
  </si>
  <si>
    <t>Trabajo</t>
  </si>
  <si>
    <t>Sueldo</t>
  </si>
  <si>
    <t>Farmacia</t>
  </si>
  <si>
    <t>Baez Eduardo (galpón)</t>
  </si>
  <si>
    <t>Galpón</t>
  </si>
  <si>
    <t>en negro</t>
  </si>
  <si>
    <t>Galpón vip</t>
  </si>
  <si>
    <t>Barrios Mariela (enfermera)</t>
  </si>
  <si>
    <t>Enfermera</t>
  </si>
  <si>
    <t>En blanco y en negro</t>
  </si>
  <si>
    <t>Chfer</t>
  </si>
  <si>
    <t>Busto Sandra  (enfermera)</t>
  </si>
  <si>
    <t xml:space="preserve">Galpón </t>
  </si>
  <si>
    <t>Cabrera Eugenia (enfermera)</t>
  </si>
  <si>
    <t>limpieza</t>
  </si>
  <si>
    <t>Carnevale Oscar (galpón)</t>
  </si>
  <si>
    <t>Carranza Cecilia (oficina)</t>
  </si>
  <si>
    <t>Oficina</t>
  </si>
  <si>
    <t>Cuevas Claudio (galpón)</t>
  </si>
  <si>
    <t>Martínez Juan (galpón)</t>
  </si>
  <si>
    <t>Martínez Juan Vidal (galpón)</t>
  </si>
  <si>
    <t>Sosa Ruben (galpón)</t>
  </si>
  <si>
    <t>Souto Marcial (limpieza)</t>
  </si>
  <si>
    <t>Limpieza</t>
  </si>
  <si>
    <t>Vivas Rodrigo (galpón)</t>
  </si>
  <si>
    <t>Barrios Martin (galpón)</t>
  </si>
  <si>
    <t>Toledo Julián (galpón)</t>
  </si>
  <si>
    <t>Caro María Silvia (galpón)</t>
  </si>
  <si>
    <t>Carranza Ramón (galpón)</t>
  </si>
  <si>
    <t>Farías Noelia (farmacia)</t>
  </si>
  <si>
    <t>Moya Alina (farmacia)</t>
  </si>
  <si>
    <t>Toledo Ruly</t>
  </si>
  <si>
    <t>Chofer</t>
  </si>
  <si>
    <t>Miguel Carranza</t>
  </si>
  <si>
    <t>Rodriguez Coty (limpieza)</t>
  </si>
  <si>
    <t>Rodriguez Gladys (limpieza)</t>
  </si>
  <si>
    <t>Roldán Camila (limpiza)</t>
  </si>
  <si>
    <t>Limpiza</t>
  </si>
  <si>
    <t>Roldán Johana (limpieza)</t>
  </si>
  <si>
    <t>Sosa Macarena</t>
  </si>
  <si>
    <t>Sosa Soledad (limpieza)</t>
  </si>
  <si>
    <t>Barrios Alan (prensa)</t>
  </si>
  <si>
    <t>Prensa</t>
  </si>
  <si>
    <t>Barrios Cristina (oficina)</t>
  </si>
  <si>
    <t>Chave Daniel (agua)</t>
  </si>
  <si>
    <t>Agua</t>
  </si>
  <si>
    <t>Sosa Luciana</t>
  </si>
  <si>
    <t>Bustamante Karina (limpieza)</t>
  </si>
  <si>
    <t>Bustos Elva (auxiliar)</t>
  </si>
  <si>
    <t>Auxiliar</t>
  </si>
  <si>
    <t>Cabrera Azucena (auxiliar)</t>
  </si>
  <si>
    <t>Contreras Ramón (limpieza)</t>
  </si>
  <si>
    <t>Gutierrez Manuel (auxiliar)</t>
  </si>
  <si>
    <t>Martínez Magalí (hotel)</t>
  </si>
  <si>
    <t>Hotel</t>
  </si>
  <si>
    <t>Quinteros Roxana (auxiliar)</t>
  </si>
  <si>
    <t>Toledo Valentina</t>
  </si>
  <si>
    <t>Valentina</t>
  </si>
  <si>
    <t>Zapata José</t>
  </si>
  <si>
    <t>Carina López (limpieza)</t>
  </si>
  <si>
    <t>Gravino Juan José</t>
  </si>
  <si>
    <t>Toledo Romina</t>
  </si>
  <si>
    <t>Ávila Fausto (jubilado)</t>
  </si>
  <si>
    <t>Jubilado</t>
  </si>
  <si>
    <t>Ávila Roque (jubilado)</t>
  </si>
  <si>
    <t>Bustos Ester (limpieza)</t>
  </si>
  <si>
    <t>Carranza Jesus (jubilado)</t>
  </si>
  <si>
    <t>Carranza Jorge</t>
  </si>
  <si>
    <t>Jorge</t>
  </si>
  <si>
    <t>Farías Oriana</t>
  </si>
  <si>
    <t>Oriana</t>
  </si>
  <si>
    <t>Garay Adrián</t>
  </si>
  <si>
    <t>Adrián</t>
  </si>
  <si>
    <t>Garay John</t>
  </si>
  <si>
    <t>John</t>
  </si>
  <si>
    <t>Loza Alejandro</t>
  </si>
  <si>
    <t>Alejandro</t>
  </si>
  <si>
    <t>Mariño Laly</t>
  </si>
  <si>
    <t>Laly</t>
  </si>
  <si>
    <t>Total:</t>
  </si>
  <si>
    <t>Alias</t>
  </si>
  <si>
    <t>Diciembre</t>
  </si>
  <si>
    <t>Febrero</t>
  </si>
  <si>
    <t>Marzo</t>
  </si>
  <si>
    <t>Abril</t>
  </si>
  <si>
    <t>Mayo</t>
  </si>
  <si>
    <t>Junio</t>
  </si>
  <si>
    <t>Medio aguinaldo</t>
  </si>
  <si>
    <t>Julio</t>
  </si>
  <si>
    <t>Agosto</t>
  </si>
  <si>
    <t>Septiembre</t>
  </si>
  <si>
    <t>Octubre</t>
  </si>
  <si>
    <t>Noviembre</t>
  </si>
  <si>
    <t>HE</t>
  </si>
  <si>
    <t>Horas extras</t>
  </si>
  <si>
    <t>Árias Pilar</t>
  </si>
  <si>
    <t>MARIAS6792.NX.ARS</t>
  </si>
  <si>
    <t>Ávila Adriana</t>
  </si>
  <si>
    <t>Ávila Cesar</t>
  </si>
  <si>
    <t>cesaravila.mp</t>
  </si>
  <si>
    <t>Cultura y turismo</t>
  </si>
  <si>
    <t>Ávila Gabriela</t>
  </si>
  <si>
    <t>Ávila Roque</t>
  </si>
  <si>
    <t>Báez Mariano</t>
  </si>
  <si>
    <t>Baez Santos Eduardo</t>
  </si>
  <si>
    <t>Barrios Alan</t>
  </si>
  <si>
    <t>AlanBarrios.SPN</t>
  </si>
  <si>
    <t>En blanco</t>
  </si>
  <si>
    <t>Barrios Cristian</t>
  </si>
  <si>
    <t>Barrios Cristina</t>
  </si>
  <si>
    <t>Barrios Mariela</t>
  </si>
  <si>
    <t>MBARRIOS2278.NX.ARS</t>
  </si>
  <si>
    <t>Barrios Martin</t>
  </si>
  <si>
    <t>ARIETE.BORLAS.SALIDA</t>
  </si>
  <si>
    <t>Barrios Sofía</t>
  </si>
  <si>
    <t xml:space="preserve">Bravo Fernanda </t>
  </si>
  <si>
    <t>fernandabravo.72</t>
  </si>
  <si>
    <t>Bustamante Karina</t>
  </si>
  <si>
    <t>Busto Sandra</t>
  </si>
  <si>
    <t>Bustos Elva</t>
  </si>
  <si>
    <t>Bustos Ester</t>
  </si>
  <si>
    <t>REMO.CUBO.LLAMA</t>
  </si>
  <si>
    <t>Cabrera Azucena</t>
  </si>
  <si>
    <t>Cabrera Eugenia</t>
  </si>
  <si>
    <t>quimeyazulluna.uala</t>
  </si>
  <si>
    <t>Cande Ávila</t>
  </si>
  <si>
    <t>Negro</t>
  </si>
  <si>
    <t>Carnevale Oscar</t>
  </si>
  <si>
    <t>Caro María Silvia</t>
  </si>
  <si>
    <t>MARIA.SILVIA.CARO</t>
  </si>
  <si>
    <t>Carranza Cecilia</t>
  </si>
  <si>
    <t>cecicarranza.20</t>
  </si>
  <si>
    <t>Carranza Jesus</t>
  </si>
  <si>
    <t>Trafic</t>
  </si>
  <si>
    <t>Carranza Miguel</t>
  </si>
  <si>
    <t>negro</t>
  </si>
  <si>
    <t>Carranza Ramón</t>
  </si>
  <si>
    <t>MCALVIMON2949.NX.ARS</t>
  </si>
  <si>
    <t>Cellone Gonzalo</t>
  </si>
  <si>
    <t>Blanco</t>
  </si>
  <si>
    <t>Chávez Daniel</t>
  </si>
  <si>
    <t>Chicha</t>
  </si>
  <si>
    <t>Contreras Puqui Ramón</t>
  </si>
  <si>
    <t>Cuevas Claudio</t>
  </si>
  <si>
    <t>nacho.lauti.euge</t>
  </si>
  <si>
    <t xml:space="preserve">Espinoza Heber </t>
  </si>
  <si>
    <t>heber.760.dado.mp</t>
  </si>
  <si>
    <t xml:space="preserve">Espinoza Ismael </t>
  </si>
  <si>
    <t>Farías Jesús</t>
  </si>
  <si>
    <t>Apoyo deportivo</t>
  </si>
  <si>
    <t>Farías Noelia</t>
  </si>
  <si>
    <t xml:space="preserve">En blanco </t>
  </si>
  <si>
    <t xml:space="preserve">$750.000 ch 1586 </t>
  </si>
  <si>
    <t>$1.000.000,00 Ch 1609</t>
  </si>
  <si>
    <t>Figueroa Lazaro</t>
  </si>
  <si>
    <t>Garay Adlrin</t>
  </si>
  <si>
    <t>Garay Eduardo</t>
  </si>
  <si>
    <t>trineo.pila.perro</t>
  </si>
  <si>
    <t xml:space="preserve">Garay Luciano </t>
  </si>
  <si>
    <t>Cuota alimentaria (Bernardina Garay)</t>
  </si>
  <si>
    <t>Gómez Sergio Coqui</t>
  </si>
  <si>
    <t>Giménez Chela</t>
  </si>
  <si>
    <t>Gutierrez Manuel</t>
  </si>
  <si>
    <t>López Carina</t>
  </si>
  <si>
    <t>López Evelia</t>
  </si>
  <si>
    <t>Mansilla Paola</t>
  </si>
  <si>
    <t>Martínez Claudia</t>
  </si>
  <si>
    <t>Martínez Emilio</t>
  </si>
  <si>
    <t xml:space="preserve">Martínez Jonás </t>
  </si>
  <si>
    <t>Martínez Juan</t>
  </si>
  <si>
    <t>Martínez Juan Vidal</t>
  </si>
  <si>
    <t>Kiosco.tomas.vidal</t>
  </si>
  <si>
    <t>Martínez Magalí</t>
  </si>
  <si>
    <t>hosteria.sanpedro.mp</t>
  </si>
  <si>
    <t>Monge Julio Cesar</t>
  </si>
  <si>
    <t>Moya Alina</t>
  </si>
  <si>
    <t>AMOYA5745.NX.ARS</t>
  </si>
  <si>
    <t>Paredes Luciana</t>
  </si>
  <si>
    <t>Reyna Sergio</t>
  </si>
  <si>
    <t>sergioreyna2023</t>
  </si>
  <si>
    <t>Rodriguez Coty</t>
  </si>
  <si>
    <t>Reyna.rosario22</t>
  </si>
  <si>
    <t>Rodriguez Gladys</t>
  </si>
  <si>
    <t>GLADYRODRIGUEZ</t>
  </si>
  <si>
    <t>Roldán Camila</t>
  </si>
  <si>
    <t>3840200500000017197720*</t>
  </si>
  <si>
    <t>Roldán Celeste</t>
  </si>
  <si>
    <t>7900273525780080*</t>
  </si>
  <si>
    <t>Roldán Johana</t>
  </si>
  <si>
    <t>DITORIO.BALA.ABEJA</t>
  </si>
  <si>
    <t>Rosales Nicolas</t>
  </si>
  <si>
    <t>Nitoporte42</t>
  </si>
  <si>
    <t>En nero</t>
  </si>
  <si>
    <t>Sacha Yevenes</t>
  </si>
  <si>
    <t>Sosa Elpidio</t>
  </si>
  <si>
    <t>LSOSA1690.NX.ARS</t>
  </si>
  <si>
    <t>Sosa Rubén</t>
  </si>
  <si>
    <t>Sosa Soledad</t>
  </si>
  <si>
    <t>MSOSAREYN6836.NX.ARS</t>
  </si>
  <si>
    <t>Souto Marcial</t>
  </si>
  <si>
    <t>Toledo Gisela</t>
  </si>
  <si>
    <t>Toledo Julián</t>
  </si>
  <si>
    <t>goma.llama.cubo</t>
  </si>
  <si>
    <t>Vivas Carranza Ana</t>
  </si>
  <si>
    <t>200318211000001000000*</t>
  </si>
  <si>
    <t>Vivas Marías</t>
  </si>
  <si>
    <t>Vivas Emiliano</t>
  </si>
  <si>
    <t>Vivas Rodrigo</t>
  </si>
  <si>
    <t>COSMOS.ABUELA.FIDEO</t>
  </si>
  <si>
    <t>Carlos Vera</t>
  </si>
  <si>
    <t>Jubilados (efectivo)</t>
  </si>
  <si>
    <t>Transferencia</t>
  </si>
  <si>
    <t>No trabaja más</t>
  </si>
  <si>
    <t>Recibo de sueldo</t>
  </si>
  <si>
    <t>Efectivo</t>
  </si>
  <si>
    <t xml:space="preserve">Enero </t>
  </si>
  <si>
    <t>Abogado</t>
  </si>
  <si>
    <t>Contador</t>
  </si>
  <si>
    <t>Ingeniero</t>
  </si>
  <si>
    <t>Arquitecto</t>
  </si>
  <si>
    <t>Doctor</t>
  </si>
  <si>
    <t>Sistema</t>
  </si>
  <si>
    <t>Esperanza</t>
  </si>
  <si>
    <t>Visa</t>
  </si>
  <si>
    <t>Nutricionista</t>
  </si>
  <si>
    <t>Cosedef</t>
  </si>
  <si>
    <t>Coop</t>
  </si>
  <si>
    <t>DirecTV</t>
  </si>
  <si>
    <t>$277,600 (Visa)</t>
  </si>
  <si>
    <t>Claro</t>
  </si>
  <si>
    <t>Dr Paredes</t>
  </si>
  <si>
    <t>Alquiler</t>
  </si>
  <si>
    <t>Asistente social</t>
  </si>
  <si>
    <t>Club Patita</t>
  </si>
  <si>
    <t>Basani</t>
  </si>
  <si>
    <t>Transer</t>
  </si>
  <si>
    <t>Camila Paredes</t>
  </si>
  <si>
    <t>Cooperativa Mu Patronal</t>
  </si>
  <si>
    <t>Previnca Seguros</t>
  </si>
  <si>
    <t>Jesús Farías (deporte)</t>
  </si>
  <si>
    <t>Julián Toledo (deporte)</t>
  </si>
  <si>
    <t>Nicolas Rosales (educación)</t>
  </si>
  <si>
    <t>José Grandín (entrenamiento cognitivo)</t>
  </si>
  <si>
    <t>Patricia Bracamonte</t>
  </si>
  <si>
    <t>Entreamiento cognitivo</t>
  </si>
  <si>
    <t>Entrenador de arquero</t>
  </si>
  <si>
    <t>Boxeo</t>
  </si>
  <si>
    <t>Consorcio Caminero</t>
  </si>
  <si>
    <t>Boxeo (Valentina)</t>
  </si>
  <si>
    <t>Total</t>
  </si>
  <si>
    <t>Luis Cativa</t>
  </si>
  <si>
    <t>Estación FM</t>
  </si>
  <si>
    <t>Mirá El Norte</t>
  </si>
  <si>
    <t>Cabezón Varela</t>
  </si>
  <si>
    <t>Mizzau</t>
  </si>
  <si>
    <t>Noticias Deán Funes</t>
  </si>
  <si>
    <t>Eduardo Díaz</t>
  </si>
  <si>
    <t>Mario Maidana</t>
  </si>
  <si>
    <t>Deán Funes Actualidad</t>
  </si>
  <si>
    <t>Guillermo Monjes</t>
  </si>
  <si>
    <t>Lucero Pacheco</t>
  </si>
  <si>
    <t>Lubricantes Jesús María</t>
  </si>
  <si>
    <t>MP</t>
  </si>
  <si>
    <t>Patricia Rivero</t>
  </si>
  <si>
    <t>Canal 2</t>
  </si>
  <si>
    <t>Diego Suárez</t>
  </si>
  <si>
    <t xml:space="preserve">Adri Margan </t>
  </si>
  <si>
    <t>Tosini</t>
  </si>
  <si>
    <t>Transf</t>
  </si>
  <si>
    <t>Por La Camiseta</t>
  </si>
  <si>
    <t>Elpidio Sosa</t>
  </si>
  <si>
    <t>Canal 11 La Dormida</t>
  </si>
  <si>
    <t>Mach Electrónica</t>
  </si>
  <si>
    <t>Franco Farías</t>
  </si>
  <si>
    <t>Maria Risa Videro</t>
  </si>
  <si>
    <t>Benjamín Reyna</t>
  </si>
  <si>
    <t>Sueldo Bartolo</t>
  </si>
  <si>
    <t>Otilia Herrador</t>
  </si>
  <si>
    <t>Orilia Herrador</t>
  </si>
  <si>
    <t>Radio Cero</t>
  </si>
  <si>
    <t>Medicos Sin Fronteras</t>
  </si>
  <si>
    <t>Starlink</t>
  </si>
  <si>
    <t>Juada Juárez</t>
  </si>
  <si>
    <t>Radio Tulumba</t>
  </si>
  <si>
    <t>Despensa DyG</t>
  </si>
  <si>
    <t>Nicolas Farías</t>
  </si>
  <si>
    <t>David Huenz</t>
  </si>
  <si>
    <t>Roxana Quinteros</t>
  </si>
  <si>
    <t>Arena Fina</t>
  </si>
  <si>
    <t>Avila Antonella</t>
  </si>
  <si>
    <t>Quimei Luna</t>
  </si>
  <si>
    <t>Azucena Cabrera</t>
  </si>
  <si>
    <t>Catherine Farías</t>
  </si>
  <si>
    <t>Farías Catherine (hotel)</t>
  </si>
  <si>
    <t>Vico Carranza (hotel)</t>
  </si>
  <si>
    <t>Feb</t>
  </si>
  <si>
    <t>Gastos</t>
  </si>
  <si>
    <t>Empresa</t>
  </si>
  <si>
    <t>Modo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</si>
  <si>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</si>
  <si>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</si>
  <si>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</si>
  <si>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</si>
  <si>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</si>
  <si>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</si>
  <si>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</si>
  <si>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</si>
  <si>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</si>
  <si>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Pc Solutions</t>
  </si>
  <si>
    <t>Trans</t>
  </si>
  <si>
    <t>Agroquímicos</t>
  </si>
  <si>
    <t>Ramnón Quinteros</t>
  </si>
  <si>
    <t>Laura Bernabey</t>
  </si>
  <si>
    <t>Puma</t>
  </si>
  <si>
    <t>Centro Herramientas</t>
  </si>
  <si>
    <t>cheque</t>
  </si>
  <si>
    <t>Acord</t>
  </si>
  <si>
    <t>Cheq</t>
  </si>
  <si>
    <t xml:space="preserve">La Radio de Totoral </t>
  </si>
  <si>
    <t>Trans y eftv</t>
  </si>
  <si>
    <t>María del Pino</t>
  </si>
  <si>
    <t>Neneno</t>
  </si>
  <si>
    <t>Ef</t>
  </si>
  <si>
    <t>Negro de Oro (Vivienda semilla)</t>
  </si>
  <si>
    <t>Cooperativa Rosita</t>
  </si>
  <si>
    <t>Fredy Mamoni</t>
  </si>
  <si>
    <t>Ch 5296</t>
  </si>
  <si>
    <t>Ross Insumos SRL</t>
  </si>
  <si>
    <t xml:space="preserve"> Trans y eftv</t>
  </si>
  <si>
    <t>Vallas</t>
  </si>
  <si>
    <t>Cheque 1853</t>
  </si>
  <si>
    <t>Caro Ávila</t>
  </si>
  <si>
    <t>Ohana</t>
  </si>
  <si>
    <t>Mach Eletronic</t>
  </si>
  <si>
    <t>Darío Alen</t>
  </si>
  <si>
    <t>chque 1847</t>
  </si>
  <si>
    <t>chque 1848</t>
  </si>
  <si>
    <t>Gustavo Clara</t>
  </si>
  <si>
    <t>Echeq</t>
  </si>
  <si>
    <t>Negro de Oro (obra balneraio 3/3)</t>
  </si>
  <si>
    <t>Cristian Mizzau</t>
  </si>
  <si>
    <t>Lubricentro Jesús María</t>
  </si>
  <si>
    <t>Ori</t>
  </si>
  <si>
    <t>Marcelo Luna</t>
  </si>
  <si>
    <t>Aylen Quinteros</t>
  </si>
  <si>
    <t>Consorcio Caminero Regional N°3</t>
  </si>
  <si>
    <t>Imperm. Liceo</t>
  </si>
  <si>
    <t>Taller Ugolino</t>
  </si>
  <si>
    <t>Trasnf</t>
  </si>
  <si>
    <t>Ema de la Mata (semillas canchas)</t>
  </si>
  <si>
    <t>Vergara Javier</t>
  </si>
  <si>
    <t>Lucha</t>
  </si>
  <si>
    <t>Ana del Pato</t>
  </si>
  <si>
    <t>Bazzana Agustin Emilio</t>
  </si>
  <si>
    <t>Yiyo</t>
  </si>
  <si>
    <t xml:space="preserve">Gitano </t>
  </si>
  <si>
    <t>Repuesots Ugolino</t>
  </si>
  <si>
    <t>Crucijuegos</t>
  </si>
  <si>
    <t>Osvaldo Panero</t>
  </si>
  <si>
    <t>Toro Sosa</t>
  </si>
  <si>
    <t>Pasajes</t>
  </si>
  <si>
    <t>Cucha Ávila</t>
  </si>
  <si>
    <t>TecnoFast</t>
  </si>
  <si>
    <t>Ema de la Mata</t>
  </si>
  <si>
    <t>Rizzi</t>
  </si>
  <si>
    <t>Ross Insumos S.R.L.</t>
  </si>
  <si>
    <t>Gonzalo Cellone (festival)</t>
  </si>
  <si>
    <t>Ybanovich Ángel</t>
  </si>
  <si>
    <t>Negro de Oro (obra balneraio 1/2)</t>
  </si>
  <si>
    <t>Martín Orozco</t>
  </si>
  <si>
    <t>El Delfín</t>
  </si>
  <si>
    <t>Hernán Valenzuela</t>
  </si>
  <si>
    <t>Equicente SRL</t>
  </si>
  <si>
    <t>Innovo Deco</t>
  </si>
  <si>
    <t>Equipel</t>
  </si>
  <si>
    <t>Salvi</t>
  </si>
  <si>
    <t>Tano Ybanovich</t>
  </si>
  <si>
    <t>Todo Suelto</t>
  </si>
  <si>
    <t>Dale Más</t>
  </si>
  <si>
    <t xml:space="preserve">Arcieri Mariano </t>
  </si>
  <si>
    <t>Shell</t>
  </si>
  <si>
    <t>Mabel Sosa</t>
  </si>
  <si>
    <t>Ana Benítez</t>
  </si>
  <si>
    <t>Insumos Electrónicos</t>
  </si>
  <si>
    <t>Efect</t>
  </si>
  <si>
    <t>Sergio López</t>
  </si>
  <si>
    <t xml:space="preserve">Arbitros </t>
  </si>
  <si>
    <t>Wilson Lopez</t>
  </si>
  <si>
    <t>Panadería Mis Viejos</t>
  </si>
  <si>
    <t>Tomy Hughes (lona)</t>
  </si>
  <si>
    <t>Mercado Pago</t>
  </si>
  <si>
    <t>María del Pino concejal</t>
  </si>
  <si>
    <t>Patita</t>
  </si>
  <si>
    <t>Fernanda Bravo</t>
  </si>
  <si>
    <t>Don Córdoba</t>
  </si>
  <si>
    <t>Soluzione</t>
  </si>
  <si>
    <t>Potrito</t>
  </si>
  <si>
    <t>Edgardo Rizzi (bulonera)</t>
  </si>
  <si>
    <t xml:space="preserve">Ulises Riachi </t>
  </si>
  <si>
    <t>Todo Repuestos</t>
  </si>
  <si>
    <t>David Huenz concejal</t>
  </si>
  <si>
    <t>Df Farma</t>
  </si>
  <si>
    <t>Elpidio</t>
  </si>
  <si>
    <t>Federación Gaucha</t>
  </si>
  <si>
    <t>HidroFil</t>
  </si>
  <si>
    <t>DF Farma</t>
  </si>
  <si>
    <t>Eftv</t>
  </si>
  <si>
    <t>Caro Ávila club</t>
  </si>
  <si>
    <t>Santa Rita</t>
  </si>
  <si>
    <t>Paa Protec</t>
  </si>
  <si>
    <t>Emiliano Martínez</t>
  </si>
  <si>
    <t>De Plano</t>
  </si>
  <si>
    <t>Adicionales</t>
  </si>
  <si>
    <t>Pastas San Cayetano</t>
  </si>
  <si>
    <t>Marcelo Saravia</t>
  </si>
  <si>
    <t>Javier Cura</t>
  </si>
  <si>
    <t>Lavadero</t>
  </si>
  <si>
    <t>Fernanda Bravo (paramédico)</t>
  </si>
  <si>
    <t>Rodamientos Caroya</t>
  </si>
  <si>
    <t>Nelsón Formoso (arquero)</t>
  </si>
  <si>
    <t>Bogan</t>
  </si>
  <si>
    <t>Punto Seco</t>
  </si>
  <si>
    <t>Mastil</t>
  </si>
  <si>
    <t>Magui Suárez</t>
  </si>
  <si>
    <t>La Boutique del Pesado (gato)</t>
  </si>
  <si>
    <t>Consorcio Camineto N° 3</t>
  </si>
  <si>
    <t>Acerco</t>
  </si>
  <si>
    <t>Dr González</t>
  </si>
  <si>
    <t>Ana</t>
  </si>
  <si>
    <t>Alelí</t>
  </si>
  <si>
    <t>María Silvia</t>
  </si>
  <si>
    <t>Vía Cargo</t>
  </si>
  <si>
    <t>Polytemp</t>
  </si>
  <si>
    <t>Sofía Monje</t>
  </si>
  <si>
    <t>Paa Protec (festival)</t>
  </si>
  <si>
    <t>Emi Papelito</t>
  </si>
  <si>
    <t>Sorbplaste</t>
  </si>
  <si>
    <t>Via Cargo</t>
  </si>
  <si>
    <t>Rodamientos Norte</t>
  </si>
  <si>
    <t>Efectiv</t>
  </si>
  <si>
    <t>Vanesa Suárez</t>
  </si>
  <si>
    <t>Toner Córdoba</t>
  </si>
  <si>
    <t>Pinteurería Naveira</t>
  </si>
  <si>
    <t>Cubiertas</t>
  </si>
  <si>
    <t>Cesar Cabrol (Mosquito)</t>
  </si>
  <si>
    <t>Pistroia Pablo Joel</t>
  </si>
  <si>
    <t>Acuarela</t>
  </si>
  <si>
    <t>YPF Gas</t>
  </si>
  <si>
    <t>Pablo Ciprian</t>
  </si>
  <si>
    <t>Asociarte ART</t>
  </si>
  <si>
    <t>Cucha Ávila (viajes José)</t>
  </si>
  <si>
    <t>Desinfección</t>
  </si>
  <si>
    <t>Germán Janson</t>
  </si>
  <si>
    <t>Julián Toledo</t>
  </si>
  <si>
    <t>De La Mata</t>
  </si>
  <si>
    <t>Schocomunicaciones</t>
  </si>
  <si>
    <t>Dr Arnáez (ginecólogo)</t>
  </si>
  <si>
    <t>Boxes Lubricentro</t>
  </si>
  <si>
    <t>Sogas ty Redes SRL</t>
  </si>
  <si>
    <t>Jesús Farías</t>
  </si>
  <si>
    <t>Naveira</t>
  </si>
  <si>
    <t>Ivmaco</t>
  </si>
  <si>
    <t>Basilio Palomeque</t>
  </si>
  <si>
    <t>Optiva Ver (lentes Guada)</t>
  </si>
  <si>
    <t>Patricia Sosa</t>
  </si>
  <si>
    <t>Daniel Lisowiec</t>
  </si>
  <si>
    <t>Cheque 1296</t>
  </si>
  <si>
    <t>Nenenó</t>
  </si>
  <si>
    <t>Ersa</t>
  </si>
  <si>
    <t>Cucha Ávila (viaje José)</t>
  </si>
  <si>
    <t>Mercado Pago (castillo)</t>
  </si>
  <si>
    <t>Mosquito</t>
  </si>
  <si>
    <t>Modernia</t>
  </si>
  <si>
    <t>chque 1845</t>
  </si>
  <si>
    <t>chque 1846</t>
  </si>
  <si>
    <t>Nani de Chuchini</t>
  </si>
  <si>
    <t>Caro Ávila (panadería)</t>
  </si>
  <si>
    <t>Julián y Jesús</t>
  </si>
  <si>
    <t>Pasajes avión</t>
  </si>
  <si>
    <t>Novedades Vicky</t>
  </si>
  <si>
    <t>Castagno Neumáticos</t>
  </si>
  <si>
    <t>Escuelita</t>
  </si>
  <si>
    <t>Supermercado El Delfín</t>
  </si>
  <si>
    <t>Vanesa</t>
  </si>
  <si>
    <t>Duilio Valle</t>
  </si>
  <si>
    <t>Sofía Monjes</t>
  </si>
  <si>
    <t>Javier Chávez</t>
  </si>
  <si>
    <t>Julio Cejas (arena Gastaldi)</t>
  </si>
  <si>
    <t xml:space="preserve">Rosa Estanciero </t>
  </si>
  <si>
    <t>Agrofe</t>
  </si>
  <si>
    <t>Mercado Pago (cama elástica)</t>
  </si>
  <si>
    <t>Negro de Oro</t>
  </si>
  <si>
    <t>Osvlado Rubio</t>
  </si>
  <si>
    <t>Rosario Ávila</t>
  </si>
  <si>
    <t>Salames</t>
  </si>
  <si>
    <t>Chevalier</t>
  </si>
  <si>
    <t>Marcelo Luna (comida)</t>
  </si>
  <si>
    <t>Impacto color</t>
  </si>
  <si>
    <t>Juan Vidal Martínez</t>
  </si>
  <si>
    <t>Gitano (Vivienta Semilla)</t>
  </si>
  <si>
    <t>Carina López</t>
  </si>
  <si>
    <t>Grabatto</t>
  </si>
  <si>
    <t xml:space="preserve">Juan José Gravino </t>
  </si>
  <si>
    <t>Electricidad Gauss</t>
  </si>
  <si>
    <t>Aire portatil</t>
  </si>
  <si>
    <t>Gimena Palomeque</t>
  </si>
  <si>
    <t>Julián  Toledo</t>
  </si>
  <si>
    <t>Juan Vidal (Vivienda Semilla)</t>
  </si>
  <si>
    <t xml:space="preserve">Yohana Lizardfe </t>
  </si>
  <si>
    <t>Darío Alem</t>
  </si>
  <si>
    <t>Gomería La 60</t>
  </si>
  <si>
    <t>López Gabriel Eduardo</t>
  </si>
  <si>
    <t>La Noche del Deporte (publicidad)</t>
  </si>
  <si>
    <t>Daniel Chávez</t>
  </si>
  <si>
    <t>El Repuestero (Cabeza)</t>
  </si>
  <si>
    <t>Macar's</t>
  </si>
  <si>
    <t>Mercado Libre</t>
  </si>
  <si>
    <t>Eduardo López (electricista)</t>
  </si>
  <si>
    <t>XGOV</t>
  </si>
  <si>
    <t>Enano Muñon</t>
  </si>
  <si>
    <t>Dr Melgar</t>
  </si>
  <si>
    <t>Fredy Mamonde (pintura)</t>
  </si>
  <si>
    <t>Chavez (sonido Día del Niño)</t>
  </si>
  <si>
    <t xml:space="preserve">Cucha Ávila </t>
  </si>
  <si>
    <t>Ayuda Tatin</t>
  </si>
  <si>
    <t>Service</t>
  </si>
  <si>
    <t>Ch 1855</t>
  </si>
  <si>
    <t>Juan Pablo Díaz</t>
  </si>
  <si>
    <t>Ketula</t>
  </si>
  <si>
    <t>Vanesa Suarez</t>
  </si>
  <si>
    <t>Marita Bravo (bazar)</t>
  </si>
  <si>
    <t>Caminos del Interior (festival)</t>
  </si>
  <si>
    <t>Tres Elementos</t>
  </si>
  <si>
    <t>El Faro (banderas)</t>
  </si>
  <si>
    <t>Automatizaciones</t>
  </si>
  <si>
    <t>Fondo</t>
  </si>
  <si>
    <t>CH 1856</t>
  </si>
  <si>
    <t>Juan Martínez</t>
  </si>
  <si>
    <t>Bulonera</t>
  </si>
  <si>
    <t>Cristina Roldán</t>
  </si>
  <si>
    <t>Impacto Color</t>
  </si>
  <si>
    <t>Fredy Mamondí (transporte)</t>
  </si>
  <si>
    <t>Teleocho</t>
  </si>
  <si>
    <t>Beltrán Hamburguesas</t>
  </si>
  <si>
    <t>Jesús Ibanovich</t>
  </si>
  <si>
    <t>Curia tornería</t>
  </si>
  <si>
    <t>Atajo</t>
  </si>
  <si>
    <t>Auxilio</t>
  </si>
  <si>
    <t>Transposrte Pichana</t>
  </si>
  <si>
    <t>Plásticos Perú</t>
  </si>
  <si>
    <t>Tomy Hugues</t>
  </si>
  <si>
    <t>Mocona Maderas</t>
  </si>
  <si>
    <t>XGov</t>
  </si>
  <si>
    <t>Papalera Farías</t>
  </si>
  <si>
    <t>Liliana Rodriguez (viaje alumnos)</t>
  </si>
  <si>
    <t>Adicionales FDF</t>
  </si>
  <si>
    <t>Evelia</t>
  </si>
  <si>
    <t>Semillas</t>
  </si>
  <si>
    <t>Sofi Moje</t>
  </si>
  <si>
    <t>Marcial Souto (ayuda social)</t>
  </si>
  <si>
    <t>Dani Chávez (desmalezamiento)</t>
  </si>
  <si>
    <t>Roberto Bogan</t>
  </si>
  <si>
    <t>Alan</t>
  </si>
  <si>
    <t>Caja de jubilaciones</t>
  </si>
  <si>
    <t>Ofredi</t>
  </si>
  <si>
    <t>Starllink</t>
  </si>
  <si>
    <t>Nacia.Arg</t>
  </si>
  <si>
    <t>Ch 1867</t>
  </si>
  <si>
    <t>Guass Electricidad</t>
  </si>
  <si>
    <t>Gabi Vélez (arena canchas)</t>
  </si>
  <si>
    <t>Trabsf</t>
  </si>
  <si>
    <t>Europtica</t>
  </si>
  <si>
    <t>Ceci</t>
  </si>
  <si>
    <t>Registro del Automotor</t>
  </si>
  <si>
    <t>Oriana Farías</t>
  </si>
  <si>
    <t>Pandolfo Luciano Nicolás</t>
  </si>
  <si>
    <t>Silvia Caminos</t>
  </si>
  <si>
    <t>Ariel López (Cara de Bombita)</t>
  </si>
  <si>
    <t>Alpi</t>
  </si>
  <si>
    <t>Cecilia Muiños</t>
  </si>
  <si>
    <t>Sole</t>
  </si>
  <si>
    <t>Elpidio Cena</t>
  </si>
  <si>
    <t>Ch 1842</t>
  </si>
  <si>
    <t>Luciana Sosa</t>
  </si>
  <si>
    <t>Casa Fenk</t>
  </si>
  <si>
    <t>José Monges baden</t>
  </si>
  <si>
    <t xml:space="preserve">Xgov </t>
  </si>
  <si>
    <t>3Doce</t>
  </si>
  <si>
    <t>Gitano (Vivienda Semilla)</t>
  </si>
  <si>
    <t>Cucha baños SUM</t>
  </si>
  <si>
    <t>Ch 1843</t>
  </si>
  <si>
    <t>Alan Barrios</t>
  </si>
  <si>
    <t>Curía tornería</t>
  </si>
  <si>
    <t>Natalia Contreras</t>
  </si>
  <si>
    <t>Sociedad de Oftalmología de Córdoba</t>
  </si>
  <si>
    <t>Amigo Mosquito</t>
  </si>
  <si>
    <t>Ar-Plast (vivienda Semilla)</t>
  </si>
  <si>
    <t>Ch 1839</t>
  </si>
  <si>
    <t>Contadora Club</t>
  </si>
  <si>
    <t>Agrofer</t>
  </si>
  <si>
    <t>Murray La Boutique del Pesado</t>
  </si>
  <si>
    <t>Kiosco La Dormida (merienda partido)</t>
  </si>
  <si>
    <t>Papelito</t>
  </si>
  <si>
    <t>Ezequiel Formoso (entrenador de arqueros)</t>
  </si>
  <si>
    <t>Marcelo Barrios</t>
  </si>
  <si>
    <t>Ch 1840</t>
  </si>
  <si>
    <t>Bodega Del Gredal</t>
  </si>
  <si>
    <t>Cantata</t>
  </si>
  <si>
    <t>Plac System</t>
  </si>
  <si>
    <t>Pan de Vida (Río Seco)</t>
  </si>
  <si>
    <t>La Toma</t>
  </si>
  <si>
    <t>Consorcio caminero</t>
  </si>
  <si>
    <t>Seguridad</t>
  </si>
  <si>
    <t>Bomba</t>
  </si>
  <si>
    <t>Ch 1841</t>
  </si>
  <si>
    <t>Gutstavo Serrano gestor</t>
  </si>
  <si>
    <t>Guillermo Peralta</t>
  </si>
  <si>
    <t>Gaucho textil</t>
  </si>
  <si>
    <t>Ulises Riachi</t>
  </si>
  <si>
    <t>Virginia Vivas Carranza</t>
  </si>
  <si>
    <t xml:space="preserve">Negro de Oro </t>
  </si>
  <si>
    <t>Sofía Monje (comisión Córdoba)</t>
  </si>
  <si>
    <t>Baños</t>
  </si>
  <si>
    <t>PAA Protec S.A.</t>
  </si>
  <si>
    <t>Raul Bustamante</t>
  </si>
  <si>
    <t>Alka</t>
  </si>
  <si>
    <t>Ctherine Farías</t>
  </si>
  <si>
    <t>Ferretería Los Primos</t>
  </si>
  <si>
    <t>Mariano Damico (arena)</t>
  </si>
  <si>
    <t>RMT Servicios SA</t>
  </si>
  <si>
    <t>Negro Videla</t>
  </si>
  <si>
    <t>Jugadores (campeonato Santa Elena</t>
  </si>
  <si>
    <t>Peluchito</t>
  </si>
  <si>
    <t>Boxes (urea Transit)</t>
  </si>
  <si>
    <t>Magui Suárez (comida)</t>
  </si>
  <si>
    <t>Dr Melgra</t>
  </si>
  <si>
    <t>Todo Seguridad</t>
  </si>
  <si>
    <t>Notarfranceso María Leonora (alojamiento)</t>
  </si>
  <si>
    <t>Festival estudiantil Sagrado Corazón</t>
  </si>
  <si>
    <t>Papalerta Farías (cierre basural)</t>
  </si>
  <si>
    <t>Julián Toledo (balneario)</t>
  </si>
  <si>
    <t>Tigre</t>
  </si>
  <si>
    <t>Huinid Hotel</t>
  </si>
  <si>
    <t>Danitex</t>
  </si>
  <si>
    <t>Ariel Arnaez</t>
  </si>
  <si>
    <t>HOM (tractorcito corta pasto)</t>
  </si>
  <si>
    <t>Ch 5288</t>
  </si>
  <si>
    <t>Handies (AliExpress)</t>
  </si>
  <si>
    <t>Mariano Báez (balneario)</t>
  </si>
  <si>
    <t>Ferrero</t>
  </si>
  <si>
    <t>Tomy</t>
  </si>
  <si>
    <t>Debernardo transporte</t>
  </si>
  <si>
    <t>Novogar</t>
  </si>
  <si>
    <t>Darío Aelm</t>
  </si>
  <si>
    <t>Cheque vencido El Delfín (vélez)</t>
  </si>
  <si>
    <t>Sergio Chuchini (balneario)</t>
  </si>
  <si>
    <t>Ariel Durán</t>
  </si>
  <si>
    <t>Graciela Quinteros</t>
  </si>
  <si>
    <t>Sodel SRL</t>
  </si>
  <si>
    <t>Rosa Estanciero</t>
  </si>
  <si>
    <t>Jonás Perea (balneario)</t>
  </si>
  <si>
    <t>Emir Bochas</t>
  </si>
  <si>
    <t>Canal 2 - mal ch 1288</t>
  </si>
  <si>
    <t>Ch 1857</t>
  </si>
  <si>
    <t>Crearte</t>
  </si>
  <si>
    <t>Pepillo Bracamonte</t>
  </si>
  <si>
    <t>Ch 1871</t>
  </si>
  <si>
    <t>Chochi Paredes</t>
  </si>
  <si>
    <t>Dr Arnaez</t>
  </si>
  <si>
    <t>Jesús Ybanovic (Vivienda Semilla)</t>
  </si>
  <si>
    <t>Alana Barrios</t>
  </si>
  <si>
    <t>Roxana Álvarez (cerramiento)</t>
  </si>
  <si>
    <t>Ch 1858</t>
  </si>
  <si>
    <t>Jorge Ochoa</t>
  </si>
  <si>
    <t>Gitano</t>
  </si>
  <si>
    <t>Ugolino</t>
  </si>
  <si>
    <t xml:space="preserve">Damián Peralta </t>
  </si>
  <si>
    <t>Fábrica copos de azucar</t>
  </si>
  <si>
    <t>El Bazar de la Economía</t>
  </si>
  <si>
    <t>Agrocentro Funes</t>
  </si>
  <si>
    <t>Potrito (balneario)</t>
  </si>
  <si>
    <t>Todos Suelto</t>
  </si>
  <si>
    <t xml:space="preserve">Peralta carniceria </t>
  </si>
  <si>
    <t>Liga</t>
  </si>
  <si>
    <t>Magui</t>
  </si>
  <si>
    <t>Escribano Bravo</t>
  </si>
  <si>
    <t>Dopazo Naveira</t>
  </si>
  <si>
    <t xml:space="preserve">Puma </t>
  </si>
  <si>
    <t>Gramma (gorras Festival de Fútbol)</t>
  </si>
  <si>
    <t>Agrupación gaucha</t>
  </si>
  <si>
    <t>NFU Caucho</t>
  </si>
  <si>
    <t>Mabel Martínez</t>
  </si>
  <si>
    <t>Cecilia Carranza</t>
  </si>
  <si>
    <t>HTVS</t>
  </si>
  <si>
    <t>Florería Fátima (corona Fausto)</t>
  </si>
  <si>
    <t>Ulises</t>
  </si>
  <si>
    <t>Mariano Adet</t>
  </si>
  <si>
    <t>Caja de jubilación</t>
  </si>
  <si>
    <t>Indusell SRL</t>
  </si>
  <si>
    <t>Repuestos Pesados</t>
  </si>
  <si>
    <t xml:space="preserve">Eduardo Ávila </t>
  </si>
  <si>
    <t>Ulises Riachi (baño)</t>
  </si>
  <si>
    <t>Heber Espoinoza (limpieza costanera)</t>
  </si>
  <si>
    <t>Recolector Barre Pasto</t>
  </si>
  <si>
    <t>Capri combustible</t>
  </si>
  <si>
    <t>Heber</t>
  </si>
  <si>
    <t>Magui Martínez</t>
  </si>
  <si>
    <t>Transer S.R.L.</t>
  </si>
  <si>
    <t>Web Home</t>
  </si>
  <si>
    <t>Transer SRL</t>
  </si>
  <si>
    <t>Ismael Espinoza (limpieza costanera)</t>
  </si>
  <si>
    <t>El Faro</t>
  </si>
  <si>
    <t>Escribanía Bravo</t>
  </si>
  <si>
    <t>Nuevo Emporio</t>
  </si>
  <si>
    <t>Bochi</t>
  </si>
  <si>
    <t>Aguinaldo Oriana Farías</t>
  </si>
  <si>
    <t>Ch 1865</t>
  </si>
  <si>
    <t>AUTOEXPRESSPARTS</t>
  </si>
  <si>
    <t>Boxes</t>
  </si>
  <si>
    <t>Sofi Monje (caños/swicher)</t>
  </si>
  <si>
    <t>Kako (tobogan balneario)</t>
  </si>
  <si>
    <t>AFIP</t>
  </si>
  <si>
    <t>VEP</t>
  </si>
  <si>
    <t>Ch1291</t>
  </si>
  <si>
    <t>Negrita Martínez</t>
  </si>
  <si>
    <t xml:space="preserve">Melli </t>
  </si>
  <si>
    <t>Aguinaldo Luciano Garay</t>
  </si>
  <si>
    <t>Ale Britos</t>
  </si>
  <si>
    <t>Pilar Arias (ayuda social)</t>
  </si>
  <si>
    <t>Mueblería del Pueblo</t>
  </si>
  <si>
    <t>Pelado Ledesma</t>
  </si>
  <si>
    <t>Laly Mariño</t>
  </si>
  <si>
    <t>Negro Perea</t>
  </si>
  <si>
    <t>Vía Cargo paneles</t>
  </si>
  <si>
    <t>RMT Servicios</t>
  </si>
  <si>
    <t>Belén Lujan</t>
  </si>
  <si>
    <t>Basterboom</t>
  </si>
  <si>
    <t>Daniel Chávez (desmalezamiento)</t>
  </si>
  <si>
    <t>Belén Mateos</t>
  </si>
  <si>
    <t>Cooperativa Deán Funes</t>
  </si>
  <si>
    <t>Isma0</t>
  </si>
  <si>
    <t>Galarza Sergio Abel (Fodemep)</t>
  </si>
  <si>
    <t>Claudia Martínez (tasa de justicia)</t>
  </si>
  <si>
    <t>Cucha Ávila (transoprte José)</t>
  </si>
  <si>
    <t>CID (Abrazadera para caños)</t>
  </si>
  <si>
    <t>Farmacia mutual de profesionales</t>
  </si>
  <si>
    <t>Interruptor Wifi Sonoff</t>
  </si>
  <si>
    <t>Fletes Ticiana</t>
  </si>
  <si>
    <t>Mauro Molina (Fodemep)</t>
  </si>
  <si>
    <t>Lucrecia Reyna (pintura varillas)</t>
  </si>
  <si>
    <t>Fedy Mamondi</t>
  </si>
  <si>
    <t>Ayuda social Guada Carranza</t>
  </si>
  <si>
    <t xml:space="preserve">Silla </t>
  </si>
  <si>
    <t>Agrocentro</t>
  </si>
  <si>
    <t>Mixcom SRL</t>
  </si>
  <si>
    <t>Fredy Mamondi</t>
  </si>
  <si>
    <t>Ch 5280</t>
  </si>
  <si>
    <t>Pilar Árias (ayuda social)</t>
  </si>
  <si>
    <t>Marita Bravo</t>
  </si>
  <si>
    <t>Diseñando futuros</t>
  </si>
  <si>
    <t>José Luís Bracamonte</t>
  </si>
  <si>
    <t>Ch 1318</t>
  </si>
  <si>
    <t>Papalera (cerramiento)</t>
  </si>
  <si>
    <t>Adrián Córdoba (luz sintético)</t>
  </si>
  <si>
    <t>La Casa del Tractor</t>
  </si>
  <si>
    <t>Jorge Rubilo</t>
  </si>
  <si>
    <t>Ar-Plast</t>
  </si>
  <si>
    <t>Romina Toledo (Dylan)</t>
  </si>
  <si>
    <t>Adrián Ávila (gabinete predio)</t>
  </si>
  <si>
    <t xml:space="preserve">Giyo </t>
  </si>
  <si>
    <t>Facundo Rodriguez</t>
  </si>
  <si>
    <t>Jonás Martínez (desmalezamiento)</t>
  </si>
  <si>
    <t>Gomería</t>
  </si>
  <si>
    <t>Sergio Aliberti</t>
  </si>
  <si>
    <t>Del Gredal</t>
  </si>
  <si>
    <t>José María Contreras</t>
  </si>
  <si>
    <t>Carnicería Zaya</t>
  </si>
  <si>
    <t>Chuchini</t>
  </si>
  <si>
    <t>Damián Muñoz</t>
  </si>
  <si>
    <t xml:space="preserve">Magui Suárez </t>
  </si>
  <si>
    <t>Claudio Cuevas (desmalezamiento)</t>
  </si>
  <si>
    <t>Librería El Faro</t>
  </si>
  <si>
    <t>Delfín</t>
  </si>
  <si>
    <t>Gustavo López</t>
  </si>
  <si>
    <t>Boxes (ad blue)</t>
  </si>
  <si>
    <t>Jesús Ybanovich</t>
  </si>
  <si>
    <t>Mariano Báez (desmalezamiento)</t>
  </si>
  <si>
    <t>Asesoramiento agronomía</t>
  </si>
  <si>
    <t>Club</t>
  </si>
  <si>
    <t>Arbitraje Liga Ischilín</t>
  </si>
  <si>
    <t>Super Delfín</t>
  </si>
  <si>
    <t>Bustamante</t>
  </si>
  <si>
    <t>Toyota</t>
  </si>
  <si>
    <t>Trnsf</t>
  </si>
  <si>
    <t>Costanza Gómez González</t>
  </si>
  <si>
    <t>Melli Martínez (desmalezamiento</t>
  </si>
  <si>
    <t>Magali Martínez</t>
  </si>
  <si>
    <t>Quimey Luna</t>
  </si>
  <si>
    <t>MaxiBlock</t>
  </si>
  <si>
    <t>Camivecchio</t>
  </si>
  <si>
    <t>Ch 2579</t>
  </si>
  <si>
    <t>Rosita Rivero (coop)</t>
  </si>
  <si>
    <t>Ch 5290</t>
  </si>
  <si>
    <t>Ugolino (batería policía)</t>
  </si>
  <si>
    <t>Sergio Cisnero (canal 12)</t>
  </si>
  <si>
    <t>Gabriel Ramón Quinteros (ayuda escolar)</t>
  </si>
  <si>
    <t>Urquiza matafuegos</t>
  </si>
  <si>
    <t>Mariano Arcieri</t>
  </si>
  <si>
    <t xml:space="preserve">Catherine Farías </t>
  </si>
  <si>
    <t>Mario Gaitán</t>
  </si>
  <si>
    <t>San Calletano</t>
  </si>
  <si>
    <t>Damián Muñoz (pan escuela Orco Suni)</t>
  </si>
  <si>
    <t>Toro Sosa (encomienda)</t>
  </si>
  <si>
    <t>Olimpo trofeos</t>
  </si>
  <si>
    <t>Jonathan Espinoza</t>
  </si>
  <si>
    <t>Victroria Vivas Carranza</t>
  </si>
  <si>
    <t>Cooperativa</t>
  </si>
  <si>
    <t>Premio truco</t>
  </si>
  <si>
    <t>Ale Hnos autopartes</t>
  </si>
  <si>
    <t>Pan de Vida (La Dormida)</t>
  </si>
  <si>
    <t>Martín Barrios</t>
  </si>
  <si>
    <t>Envío compra Mercado Libre</t>
  </si>
  <si>
    <t>María Vivas</t>
  </si>
  <si>
    <t>Arbitros (final femenino liga Ischilín)</t>
  </si>
  <si>
    <t>Entre Servicios Informáticos</t>
  </si>
  <si>
    <t>Javi Cháves (sonido actuación Alto Verde)</t>
  </si>
  <si>
    <t>Orozco</t>
  </si>
  <si>
    <t>Juan Martín Barrios</t>
  </si>
  <si>
    <t>Walter Ferrero</t>
  </si>
  <si>
    <t>Virginia Carranza (sembrado)</t>
  </si>
  <si>
    <t>Diego Suárez (cierrde de año arqueros)</t>
  </si>
  <si>
    <t>El Buen Comer</t>
  </si>
  <si>
    <t>Underkote (techo muni)</t>
  </si>
  <si>
    <t>Camila Roldán</t>
  </si>
  <si>
    <t>Giordano Diego Alejandro</t>
  </si>
  <si>
    <t>Ariel  Marquez</t>
  </si>
  <si>
    <t>MR Motorsports SRL</t>
  </si>
  <si>
    <t>Rec</t>
  </si>
  <si>
    <t>Ramón Antonio</t>
  </si>
  <si>
    <t>Silvana Farías</t>
  </si>
  <si>
    <t>Adicionales cancha</t>
  </si>
  <si>
    <t>Emi Pucheta</t>
  </si>
  <si>
    <t>Fredy Mamondi (tehco muni)</t>
  </si>
  <si>
    <t>El Faro (bandera Argentina)</t>
  </si>
  <si>
    <t>Florería Fatima</t>
  </si>
  <si>
    <t>Don Mario</t>
  </si>
  <si>
    <t>Superfil</t>
  </si>
  <si>
    <t>Plafones</t>
  </si>
  <si>
    <t>Radio Sol de Julio</t>
  </si>
  <si>
    <t>Negro de Oro (hostería)</t>
  </si>
  <si>
    <t>Mansilla Paola (sembrado)</t>
  </si>
  <si>
    <t>Doppler Guillermo (copa Festival de Fútbol)</t>
  </si>
  <si>
    <t xml:space="preserve">Ruly Toledo </t>
  </si>
  <si>
    <t>PUMA</t>
  </si>
  <si>
    <t>Totoritas</t>
  </si>
  <si>
    <t>Curia</t>
  </si>
  <si>
    <t xml:space="preserve">Paa Protec </t>
  </si>
  <si>
    <t>Suarez Magui (Sembrado)</t>
  </si>
  <si>
    <t>Castagno neumáticos</t>
  </si>
  <si>
    <t>Santa Rita (Vivienda Semilla)</t>
  </si>
  <si>
    <t>Life Seguro</t>
  </si>
  <si>
    <t>Dluz</t>
  </si>
  <si>
    <t>Fredy Mamondí (techo muni)</t>
  </si>
  <si>
    <t xml:space="preserve">Suarez Magui </t>
  </si>
  <si>
    <t>One City (televisor y parlante)</t>
  </si>
  <si>
    <t>Cubiertas Salim</t>
  </si>
  <si>
    <t>Trans Don Chicho</t>
  </si>
  <si>
    <t>CAF</t>
  </si>
  <si>
    <t>Alberto Zalabaza</t>
  </si>
  <si>
    <t>Mp</t>
  </si>
  <si>
    <t>Electrica 631</t>
  </si>
  <si>
    <t>Magui Martínez (pata flambeada)</t>
  </si>
  <si>
    <t>Lubricantes Jesús Marías</t>
  </si>
  <si>
    <t>Ludmila Coronel</t>
  </si>
  <si>
    <t>Jesús María Repuestos (buje Ducato)</t>
  </si>
  <si>
    <t>Puqui</t>
  </si>
  <si>
    <t>Mun de Deán Funes multa</t>
  </si>
  <si>
    <t>Roxana Álvarez</t>
  </si>
  <si>
    <t>Francisco locutor</t>
  </si>
  <si>
    <t>Magui Gómez</t>
  </si>
  <si>
    <t>Efectvio</t>
  </si>
  <si>
    <t>Don Cordoba</t>
  </si>
  <si>
    <t>Daniel Chavez (desmalezamiento)</t>
  </si>
  <si>
    <t>Corralón San José</t>
  </si>
  <si>
    <t>Rentas</t>
  </si>
  <si>
    <t>Smart Collection SA (Cande Díaz)</t>
  </si>
  <si>
    <t>Graciela Lucero</t>
  </si>
  <si>
    <t xml:space="preserve">Nicolas Farias </t>
  </si>
  <si>
    <t>John Garay (comisión carpa)</t>
  </si>
  <si>
    <t>Intercan deco (Día del Niño)</t>
  </si>
  <si>
    <t>Adicionales partido</t>
  </si>
  <si>
    <t>Irma Cabrera</t>
  </si>
  <si>
    <t>Farias Catherine (sembrado)</t>
  </si>
  <si>
    <t>Mabel Martínez (quincho)</t>
  </si>
  <si>
    <t>Hidronorte</t>
  </si>
  <si>
    <t>Juan Martín</t>
  </si>
  <si>
    <t>La Vidriería</t>
  </si>
  <si>
    <t>José Ortega</t>
  </si>
  <si>
    <t>z</t>
  </si>
  <si>
    <t>Kevin Farías</t>
  </si>
  <si>
    <t>Dehuka</t>
  </si>
  <si>
    <t>José María Contreras (Transporte)</t>
  </si>
  <si>
    <t>Bancón</t>
  </si>
  <si>
    <t>La Parilla de Yiyo</t>
  </si>
  <si>
    <t>Papalera</t>
  </si>
  <si>
    <t>Teresa García (ayuda casa)</t>
  </si>
  <si>
    <t>Jorge Rafel Carrucio</t>
  </si>
  <si>
    <t>DyG Despensa</t>
  </si>
  <si>
    <t>Córdoba Andréa Mónica</t>
  </si>
  <si>
    <t>Estación FM (enero)</t>
  </si>
  <si>
    <t>Dario Alem</t>
  </si>
  <si>
    <t>La Parrilla de Giyo</t>
  </si>
  <si>
    <t>Gomería Jesús María</t>
  </si>
  <si>
    <t>Javier Chávez (sonido y actuación)</t>
  </si>
  <si>
    <t>Vancouver (egresados 6to grado San Pedo Norte)</t>
  </si>
  <si>
    <t>María Calvimonte</t>
  </si>
  <si>
    <t>Matus</t>
  </si>
  <si>
    <t>Alelí Ortiz</t>
  </si>
  <si>
    <t>Basilio Palomeque (entradas festival)</t>
  </si>
  <si>
    <t>Fumigación CIC</t>
  </si>
  <si>
    <t>Cecilia Quinteros</t>
  </si>
  <si>
    <t>Emi Pucheta Gas ()</t>
  </si>
  <si>
    <t>Carlos Márquez</t>
  </si>
  <si>
    <t>Adela Gracía vencido 1869</t>
  </si>
  <si>
    <t>Ch 5287</t>
  </si>
  <si>
    <t>Murray - La Boutique del Pesado</t>
  </si>
  <si>
    <t>Concorcio caminero</t>
  </si>
  <si>
    <t>Nicolás Nelquis (batería)</t>
  </si>
  <si>
    <t>José Monge</t>
  </si>
  <si>
    <t>Ef - Ch 1830</t>
  </si>
  <si>
    <t>Milton Farías (baño Ciego)</t>
  </si>
  <si>
    <t>Gitano Ybanovich</t>
  </si>
  <si>
    <t>Jorge Miriani (plástico Iveco)</t>
  </si>
  <si>
    <t>Cocho Londero (plaquetas)</t>
  </si>
  <si>
    <t>Gómez González María Constanza</t>
  </si>
  <si>
    <t>Marixa Ruiz</t>
  </si>
  <si>
    <t>Denese camperas</t>
  </si>
  <si>
    <t xml:space="preserve">Beltrán </t>
  </si>
  <si>
    <t>Ar-Plast (hierros)</t>
  </si>
  <si>
    <t>Seguro Club</t>
  </si>
  <si>
    <t>Agrofer Industrial</t>
  </si>
  <si>
    <t>Xgov</t>
  </si>
  <si>
    <t xml:space="preserve">Toro Sosa </t>
  </si>
  <si>
    <t>Caja Lucha</t>
  </si>
  <si>
    <t>Agrin Gomas</t>
  </si>
  <si>
    <t>Daniel Chaves (desmalezamiento camino)</t>
  </si>
  <si>
    <t>Cosedef Rosita</t>
  </si>
  <si>
    <t>Plata de caja</t>
  </si>
  <si>
    <t xml:space="preserve">Médico Sin Fronteras </t>
  </si>
  <si>
    <t>Mariano Cesarini</t>
  </si>
  <si>
    <t>Ordoñen Micaela Soledad</t>
  </si>
  <si>
    <t>Cancha de sintético</t>
  </si>
  <si>
    <t>Carruccio Maderas</t>
  </si>
  <si>
    <t>Fono Bus</t>
  </si>
  <si>
    <t>Damian Muñoz (pan escuela Orco Suni)</t>
  </si>
  <si>
    <t>Román Robles (Día de la Madre)</t>
  </si>
  <si>
    <t>Ayuda La Toma</t>
  </si>
  <si>
    <t>Tomy Hughes (talonarios)</t>
  </si>
  <si>
    <t>La Boutique del Automovil</t>
  </si>
  <si>
    <t>Juan Martínez (ayuda social)</t>
  </si>
  <si>
    <t>Adrián Ávila (buffet jineteada)</t>
  </si>
  <si>
    <t>Ariel Durán (Día de la Madre)</t>
  </si>
  <si>
    <t>Carlos Olguín</t>
  </si>
  <si>
    <t>Álvarez Fernando Nicolás (comisionista)</t>
  </si>
  <si>
    <t>La Fontana</t>
  </si>
  <si>
    <t>Mercería Botones</t>
  </si>
  <si>
    <t>Betos</t>
  </si>
  <si>
    <t>Femantex (pasacalles)</t>
  </si>
  <si>
    <t>Florería Deán Funes (Día de la Madre)</t>
  </si>
  <si>
    <t>Best Color SA</t>
  </si>
  <si>
    <t>Tarjeta</t>
  </si>
  <si>
    <t>Peralta</t>
  </si>
  <si>
    <t>Gomería San Juan</t>
  </si>
  <si>
    <t>Macris</t>
  </si>
  <si>
    <t>Tomy Hugues (lona mesh)</t>
  </si>
  <si>
    <t>Dr Calros Campos</t>
  </si>
  <si>
    <t>Dani Chavez</t>
  </si>
  <si>
    <t>Juegos ecuestres</t>
  </si>
  <si>
    <t>Oscar Paredes</t>
  </si>
  <si>
    <t>Holy Park</t>
  </si>
  <si>
    <t>Frnacisco locutor</t>
  </si>
  <si>
    <t>Javier Vergara</t>
  </si>
  <si>
    <t>Mercado Libre (telescopio)</t>
  </si>
  <si>
    <t>Lautaro Lastra</t>
  </si>
  <si>
    <t>Gobzalo Cellone</t>
  </si>
  <si>
    <t>Anto Ávila (operación ojos)</t>
  </si>
  <si>
    <t>Santiago Ávila (ayuda social)</t>
  </si>
  <si>
    <t>BellUp</t>
  </si>
  <si>
    <t>Gitano (Colegio)</t>
  </si>
  <si>
    <t>María Clara Zorrilla</t>
  </si>
  <si>
    <t>Panadería Luchi (sandwich de miga)</t>
  </si>
  <si>
    <t>El Delfín (rifa El Perchel)</t>
  </si>
  <si>
    <t>DistriExpress</t>
  </si>
  <si>
    <t>Sadaic (imp. Festival de Jineteada y Chamamé</t>
  </si>
  <si>
    <t>Claudio Cuevas (losa tobogán)</t>
  </si>
  <si>
    <t>Chávez</t>
  </si>
  <si>
    <t>Trans y MP</t>
  </si>
  <si>
    <t>Porteño Rosales</t>
  </si>
  <si>
    <t>Mariano Báes (losa tobogán)</t>
  </si>
  <si>
    <t>Life Seguros</t>
  </si>
  <si>
    <t xml:space="preserve">Adicionales </t>
  </si>
  <si>
    <t>Javier Tejeiro (Alto Verde)</t>
  </si>
  <si>
    <t>Adicionales (festival de Jineteada y Chamamé)</t>
  </si>
  <si>
    <t>Sassocurt SRL</t>
  </si>
  <si>
    <t>Vicente Herrera (ayuda social)</t>
  </si>
  <si>
    <t>Ismael Espinoza (losa tobogán)</t>
  </si>
  <si>
    <t>Anita Carranza</t>
  </si>
  <si>
    <t>Iphone</t>
  </si>
  <si>
    <t>Ramón Monje</t>
  </si>
  <si>
    <t>Gloria Peralta</t>
  </si>
  <si>
    <t>Walter Ariel Rodriguez (repuestos Cucha)</t>
  </si>
  <si>
    <t xml:space="preserve">Ramon Quinteros </t>
  </si>
  <si>
    <t>Javier Tejeiro</t>
  </si>
  <si>
    <t>Ruly Toledo</t>
  </si>
  <si>
    <t>Mariela Barrios</t>
  </si>
  <si>
    <t>RyC Embragues (movil policial)</t>
  </si>
  <si>
    <t>Transporte María Luz</t>
  </si>
  <si>
    <t>Taller Micolini</t>
  </si>
  <si>
    <t>John Garay</t>
  </si>
  <si>
    <t xml:space="preserve">Cosedef (bajada de luz predio) </t>
  </si>
  <si>
    <t>Manuel Campos</t>
  </si>
  <si>
    <t>Mercado Libre (flash)</t>
  </si>
  <si>
    <t>Milton Kevin Farías</t>
  </si>
  <si>
    <t>IPIPSA SRL</t>
  </si>
  <si>
    <t xml:space="preserve">Bomba de agua </t>
  </si>
  <si>
    <t>Walter Rodriguez (taller Cucha)</t>
  </si>
  <si>
    <t>Sabroso</t>
  </si>
  <si>
    <t>Salim Hadad</t>
  </si>
  <si>
    <t>Médicos sin Fronteras</t>
  </si>
  <si>
    <t>Cecilia Carranza (librería)</t>
  </si>
  <si>
    <t>Cucha Ávila (transporte Antonell Avila)</t>
  </si>
  <si>
    <t>Asesoramiento  grupal agropecuario</t>
  </si>
  <si>
    <t>Ruly Toledo (ayuda social)</t>
  </si>
  <si>
    <t>Enter</t>
  </si>
  <si>
    <t>Pumna</t>
  </si>
  <si>
    <t>Servicio fúnebre</t>
  </si>
  <si>
    <t>JemGas</t>
  </si>
  <si>
    <t>Sony</t>
  </si>
  <si>
    <t>Tarjeta de crédito</t>
  </si>
  <si>
    <t>Marcela Martino (seguro festival de Jineteada y Chamamé)</t>
  </si>
  <si>
    <t>Ana Karina Oviedo (cajas navideñas)</t>
  </si>
  <si>
    <t>Eduardo Ataide</t>
  </si>
  <si>
    <t>Sexto año (papas fritas)</t>
  </si>
  <si>
    <t>Vico y Cathi (pintura)</t>
  </si>
  <si>
    <t>Pago Focca</t>
  </si>
  <si>
    <t>José Zapata (manguera Tosini)</t>
  </si>
  <si>
    <t>Pelecha</t>
  </si>
  <si>
    <t>Papalera Farías (cerramiento de predio)</t>
  </si>
  <si>
    <t>Gloria Analía Farías (regalos Día de la Madre)</t>
  </si>
  <si>
    <t>Adicionales fundación de San Pedro Norte</t>
  </si>
  <si>
    <t>Cesarini</t>
  </si>
  <si>
    <t>Capdevila Carlos Alberto</t>
  </si>
  <si>
    <t>Anita Cabrera (regalos Día de la Madre)</t>
  </si>
  <si>
    <t>NewTech Accesorios</t>
  </si>
  <si>
    <t>Videla Mónica Marciel (distribuidora)</t>
  </si>
  <si>
    <t>Negro de Oro (Vivienda Semilla)</t>
  </si>
  <si>
    <t>Pilar Árias</t>
  </si>
  <si>
    <t>Álvarez Fernando Nicolás</t>
  </si>
  <si>
    <t>seguro Ford Transit</t>
  </si>
  <si>
    <t>Gloria Peralta Gomería</t>
  </si>
  <si>
    <t>Oriana Faarías</t>
  </si>
  <si>
    <t>Franco Conca (maza motoniveladora)</t>
  </si>
  <si>
    <t>Cabritos Moyano</t>
  </si>
  <si>
    <t>Sofía Monje (columnas/portó cancha)</t>
  </si>
  <si>
    <t>Ruedas El Cerro</t>
  </si>
  <si>
    <t>ATAC Centro de Servicios</t>
  </si>
  <si>
    <t>Adrián Córdoba (bajada de luz predio)</t>
  </si>
  <si>
    <t>Venemaxinsumos</t>
  </si>
  <si>
    <t>Jesús Ybanovich (vivienda semilla)</t>
  </si>
  <si>
    <t>Rio Dulce (cabritos)</t>
  </si>
  <si>
    <t>El Norte Seguros (secundario)</t>
  </si>
  <si>
    <t>Ramón Quinteros</t>
  </si>
  <si>
    <t>Exequiel Formoso (entrenador de arqueros)</t>
  </si>
  <si>
    <t>Nicolás Farías</t>
  </si>
  <si>
    <t>Chivito</t>
  </si>
  <si>
    <t>El Portal (almuerzo femenino)</t>
  </si>
  <si>
    <t>Pablo Ciprian (limpieza costanera)</t>
  </si>
  <si>
    <t>Dr Arnáez</t>
  </si>
  <si>
    <t>Adrian Villarroel</t>
  </si>
  <si>
    <t>SeiTu (femenino)</t>
  </si>
  <si>
    <t>Vico Carranza</t>
  </si>
  <si>
    <t>Easy (baño)</t>
  </si>
  <si>
    <t>Milton Kevin Farías (pintura balneario)</t>
  </si>
  <si>
    <t>Diego Araujo</t>
  </si>
  <si>
    <t>Combo murga</t>
  </si>
  <si>
    <t>Escuela de folklore y malambo El Arriero (publicidad)</t>
  </si>
  <si>
    <t>Gonzalo Celone</t>
  </si>
  <si>
    <t>Chivito Barrios</t>
  </si>
  <si>
    <t>Marcial (transporte femenino)</t>
  </si>
  <si>
    <t>Alina Moya (limpieza predio)</t>
  </si>
  <si>
    <t>Yohana Lizardes (regalos Día de la Madre)</t>
  </si>
  <si>
    <t>Ezequiel Formoso</t>
  </si>
  <si>
    <t>La Banda de Potencia</t>
  </si>
  <si>
    <t>Celeste Roldán (limpieza baño Lautaro)</t>
  </si>
  <si>
    <t>María Teresa García (ayuda social Anahí)</t>
  </si>
  <si>
    <t>Adrian Carrizo (sonido y actuación)</t>
  </si>
  <si>
    <t>Jardín</t>
  </si>
  <si>
    <t>Ezequiel Copetti (pc Alto Verde)</t>
  </si>
  <si>
    <t>Transf 764A0A</t>
  </si>
  <si>
    <t>Ulises Riachi (baños municipalidad)</t>
  </si>
  <si>
    <t>Leopoldo Rivarola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</si>
</sst>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(&quot;$&quot;\ * #,##0.00_);_(&quot;$&quot;\ * \(#,##0.00\);_(&quot;$&quot;\ 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1D1C1C"/>
      <name val="Arial"/>
      <family val="2"/>
    </font>
    <font>
      <b/>
      <sz val="12"/>
      <color theme="1"/>
      <name val="Calibri"/>
      <family val="2"/>
      <scheme val="minor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rgb="FF505050"/>
      </bottom>
      <diagonal/>
    </border>
    <border>
      <left style="thick">
        <color indexed="64"/>
      </left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ck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rgb="FF50505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8">
    <xf numFmtId="0" fontId="0" fillId="0" borderId="0" xfId="0"/>
    <xf numFmtId="44" fontId="0" fillId="0" borderId="0" xfId="1" applyFont="1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4" fontId="5" fillId="0" borderId="1" xfId="1" applyFont="1" applyBorder="1"/>
    <xf numFmtId="44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4" fontId="0" fillId="0" borderId="1" xfId="1" applyFont="1" applyBorder="1"/>
    <xf numFmtId="44" fontId="5" fillId="0" borderId="1" xfId="1" applyFont="1" applyBorder="1" applyAlignment="1">
      <alignment horizontal="center"/>
    </xf>
    <xf numFmtId="44" fontId="3" fillId="0" borderId="1" xfId="1" applyFont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44" fontId="8" fillId="0" borderId="1" xfId="1" applyFont="1" applyBorder="1" applyAlignment="1">
      <alignment horizontal="center" vertical="center"/>
    </xf>
    <xf numFmtId="44" fontId="1" fillId="0" borderId="1" xfId="1" applyFont="1" applyBorder="1" applyAlignment="1">
      <alignment horizontal="center" vertical="center"/>
    </xf>
    <xf numFmtId="44" fontId="9" fillId="0" borderId="1" xfId="1" applyFont="1" applyBorder="1" applyAlignment="1">
      <alignment horizontal="center" vertical="center"/>
    </xf>
    <xf numFmtId="0" fontId="0" fillId="0" borderId="1" xfId="0" applyBorder="1"/>
    <xf numFmtId="44" fontId="9" fillId="0" borderId="1" xfId="1" applyFont="1" applyFill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 vertical="center"/>
    </xf>
    <xf numFmtId="44" fontId="3" fillId="0" borderId="1" xfId="1" applyFont="1" applyBorder="1"/>
    <xf numFmtId="44" fontId="0" fillId="0" borderId="1" xfId="1" applyFont="1" applyBorder="1" applyAlignment="1">
      <alignment horizontal="right"/>
    </xf>
    <xf numFmtId="164" fontId="0" fillId="0" borderId="1" xfId="0" applyNumberFormat="1" applyBorder="1"/>
    <xf numFmtId="44" fontId="0" fillId="0" borderId="0" xfId="1" applyFont="1" applyBorder="1"/>
    <xf numFmtId="44" fontId="0" fillId="2" borderId="1" xfId="1" applyFont="1" applyFill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10" fillId="2" borderId="3" xfId="1" applyNumberFormat="1" applyFont="1" applyFill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44" fontId="0" fillId="0" borderId="5" xfId="1" applyFont="1" applyFill="1" applyBorder="1" applyAlignment="1">
      <alignment horizontal="center" vertical="center"/>
    </xf>
    <xf numFmtId="44" fontId="3" fillId="0" borderId="2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44" fontId="8" fillId="0" borderId="4" xfId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44" fontId="4" fillId="3" borderId="1" xfId="1" applyFont="1" applyFill="1" applyBorder="1" applyAlignment="1">
      <alignment horizontal="center" vertical="center"/>
    </xf>
    <xf numFmtId="44" fontId="0" fillId="2" borderId="5" xfId="1" applyFont="1" applyFill="1" applyBorder="1" applyAlignment="1">
      <alignment horizontal="center" vertical="center"/>
    </xf>
    <xf numFmtId="44" fontId="3" fillId="0" borderId="2" xfId="1" applyFont="1" applyBorder="1"/>
    <xf numFmtId="44" fontId="6" fillId="2" borderId="5" xfId="1" applyFont="1" applyFill="1" applyBorder="1" applyAlignment="1">
      <alignment horizontal="center" vertical="center"/>
    </xf>
    <xf numFmtId="44" fontId="8" fillId="0" borderId="4" xfId="1" applyFont="1" applyBorder="1"/>
    <xf numFmtId="44" fontId="8" fillId="0" borderId="1" xfId="1" applyFont="1" applyBorder="1"/>
    <xf numFmtId="44" fontId="10" fillId="0" borderId="1" xfId="1" applyFont="1" applyBorder="1"/>
    <xf numFmtId="44" fontId="8" fillId="0" borderId="0" xfId="1" applyFont="1" applyAlignment="1" applyProtection="1">
      <alignment horizontal="left" wrapText="1" indent="1"/>
      <protection locked="0"/>
    </xf>
    <xf numFmtId="44" fontId="0" fillId="0" borderId="2" xfId="1" applyFont="1" applyBorder="1"/>
    <xf numFmtId="44" fontId="4" fillId="4" borderId="1" xfId="1" applyFont="1" applyFill="1" applyBorder="1" applyAlignment="1">
      <alignment horizontal="center" vertical="center"/>
    </xf>
    <xf numFmtId="44" fontId="0" fillId="5" borderId="2" xfId="1" applyFont="1" applyFill="1" applyBorder="1"/>
    <xf numFmtId="44" fontId="0" fillId="2" borderId="5" xfId="1" applyFont="1" applyFill="1" applyBorder="1"/>
    <xf numFmtId="44" fontId="0" fillId="5" borderId="4" xfId="1" applyFont="1" applyFill="1" applyBorder="1"/>
    <xf numFmtId="44" fontId="0" fillId="5" borderId="1" xfId="1" applyFont="1" applyFill="1" applyBorder="1"/>
    <xf numFmtId="44" fontId="8" fillId="0" borderId="2" xfId="1" applyFont="1" applyBorder="1"/>
    <xf numFmtId="44" fontId="9" fillId="2" borderId="5" xfId="1" applyFont="1" applyFill="1" applyBorder="1" applyAlignment="1">
      <alignment horizontal="center" vertical="center"/>
    </xf>
    <xf numFmtId="44" fontId="11" fillId="0" borderId="1" xfId="1" applyFont="1" applyBorder="1"/>
    <xf numFmtId="44" fontId="8" fillId="0" borderId="1" xfId="1" applyFont="1" applyBorder="1" applyAlignment="1">
      <alignment horizontal="left" indent="1"/>
    </xf>
    <xf numFmtId="44" fontId="4" fillId="6" borderId="1" xfId="1" applyFont="1" applyFill="1" applyBorder="1" applyAlignment="1">
      <alignment horizontal="center" vertical="center"/>
    </xf>
    <xf numFmtId="44" fontId="0" fillId="0" borderId="2" xfId="1" applyFont="1" applyFill="1" applyBorder="1" applyAlignment="1">
      <alignment horizontal="center" vertical="center"/>
    </xf>
    <xf numFmtId="44" fontId="0" fillId="0" borderId="4" xfId="1" applyFont="1" applyFill="1" applyBorder="1" applyAlignment="1">
      <alignment horizontal="center" vertical="center"/>
    </xf>
    <xf numFmtId="44" fontId="0" fillId="7" borderId="1" xfId="1" applyFont="1" applyFill="1" applyBorder="1" applyAlignment="1">
      <alignment horizontal="center" vertical="center"/>
    </xf>
    <xf numFmtId="44" fontId="7" fillId="2" borderId="5" xfId="1" applyFont="1" applyFill="1" applyBorder="1" applyAlignment="1">
      <alignment horizontal="center" vertical="center"/>
    </xf>
    <xf numFmtId="44" fontId="0" fillId="5" borderId="1" xfId="1" applyFont="1" applyFill="1" applyBorder="1" applyAlignment="1">
      <alignment horizontal="center" vertical="center"/>
    </xf>
    <xf numFmtId="44" fontId="8" fillId="5" borderId="1" xfId="1" applyFont="1" applyFill="1" applyBorder="1" applyAlignment="1">
      <alignment horizontal="center" vertical="center"/>
    </xf>
    <xf numFmtId="44" fontId="3" fillId="5" borderId="1" xfId="1" applyFont="1" applyFill="1" applyBorder="1" applyAlignment="1">
      <alignment horizontal="center" vertical="center"/>
    </xf>
    <xf numFmtId="44" fontId="3" fillId="5" borderId="2" xfId="1" applyFont="1" applyFill="1" applyBorder="1"/>
    <xf numFmtId="44" fontId="8" fillId="5" borderId="4" xfId="1" applyFont="1" applyFill="1" applyBorder="1" applyAlignment="1">
      <alignment horizontal="center" vertical="center"/>
    </xf>
    <xf numFmtId="44" fontId="8" fillId="7" borderId="1" xfId="1" applyFont="1" applyFill="1" applyBorder="1" applyAlignment="1">
      <alignment horizontal="center" vertical="center"/>
    </xf>
    <xf numFmtId="44" fontId="8" fillId="7" borderId="1" xfId="1" applyFont="1" applyFill="1" applyBorder="1"/>
    <xf numFmtId="44" fontId="4" fillId="8" borderId="1" xfId="1" applyFont="1" applyFill="1" applyBorder="1" applyAlignment="1">
      <alignment horizontal="center" vertical="center"/>
    </xf>
    <xf numFmtId="44" fontId="6" fillId="0" borderId="4" xfId="1" applyFont="1" applyBorder="1" applyAlignment="1">
      <alignment horizontal="center" vertical="center"/>
    </xf>
    <xf numFmtId="44" fontId="8" fillId="0" borderId="1" xfId="1" applyFont="1" applyFill="1" applyBorder="1" applyAlignment="1">
      <alignment horizontal="center" vertical="center"/>
    </xf>
    <xf numFmtId="44" fontId="12" fillId="0" borderId="1" xfId="1" applyFont="1" applyBorder="1" applyAlignment="1">
      <alignment horizontal="center" vertical="center"/>
    </xf>
    <xf numFmtId="44" fontId="11" fillId="0" borderId="1" xfId="1" applyFont="1" applyBorder="1" applyAlignment="1">
      <alignment horizontal="center" vertical="center"/>
    </xf>
    <xf numFmtId="44" fontId="10" fillId="0" borderId="1" xfId="1" applyFont="1" applyBorder="1" applyAlignment="1">
      <alignment horizontal="center" vertical="center"/>
    </xf>
    <xf numFmtId="44" fontId="13" fillId="0" borderId="1" xfId="1" applyFont="1" applyBorder="1"/>
    <xf numFmtId="44" fontId="0" fillId="9" borderId="2" xfId="1" applyFont="1" applyFill="1" applyBorder="1" applyAlignment="1">
      <alignment horizontal="center" vertical="center"/>
    </xf>
    <xf numFmtId="44" fontId="0" fillId="9" borderId="4" xfId="1" applyFont="1" applyFill="1" applyBorder="1" applyAlignment="1">
      <alignment horizontal="center" vertical="center"/>
    </xf>
    <xf numFmtId="44" fontId="0" fillId="9" borderId="1" xfId="1" applyFont="1" applyFill="1" applyBorder="1" applyAlignment="1">
      <alignment horizontal="center" vertical="center"/>
    </xf>
    <xf numFmtId="44" fontId="0" fillId="9" borderId="5" xfId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4" fontId="8" fillId="9" borderId="1" xfId="1" applyFont="1" applyFill="1" applyBorder="1" applyAlignment="1">
      <alignment horizontal="center" vertical="center"/>
    </xf>
    <xf numFmtId="44" fontId="8" fillId="9" borderId="2" xfId="1" applyFont="1" applyFill="1" applyBorder="1"/>
    <xf numFmtId="44" fontId="7" fillId="9" borderId="5" xfId="1" applyFont="1" applyFill="1" applyBorder="1" applyAlignment="1">
      <alignment horizontal="center" vertical="center"/>
    </xf>
    <xf numFmtId="44" fontId="8" fillId="9" borderId="4" xfId="1" applyFont="1" applyFill="1" applyBorder="1" applyAlignment="1">
      <alignment horizontal="center" vertical="center"/>
    </xf>
    <xf numFmtId="44" fontId="3" fillId="9" borderId="1" xfId="1" applyFont="1" applyFill="1" applyBorder="1" applyAlignment="1">
      <alignment horizontal="center" vertical="center"/>
    </xf>
    <xf numFmtId="44" fontId="12" fillId="9" borderId="1" xfId="1" applyFont="1" applyFill="1" applyBorder="1" applyAlignment="1">
      <alignment horizontal="center" vertical="center"/>
    </xf>
    <xf numFmtId="44" fontId="8" fillId="9" borderId="1" xfId="1" applyFont="1" applyFill="1" applyBorder="1"/>
    <xf numFmtId="44" fontId="8" fillId="2" borderId="1" xfId="1" applyFont="1" applyFill="1" applyBorder="1"/>
    <xf numFmtId="0" fontId="0" fillId="9" borderId="0" xfId="0" applyFill="1"/>
    <xf numFmtId="44" fontId="4" fillId="10" borderId="1" xfId="1" applyFont="1" applyFill="1" applyBorder="1" applyAlignment="1">
      <alignment horizontal="center" vertical="center"/>
    </xf>
    <xf numFmtId="44" fontId="9" fillId="0" borderId="4" xfId="1" applyFont="1" applyBorder="1" applyAlignment="1">
      <alignment horizontal="center" vertical="center"/>
    </xf>
    <xf numFmtId="44" fontId="0" fillId="0" borderId="4" xfId="1" applyFont="1" applyBorder="1"/>
    <xf numFmtId="44" fontId="8" fillId="5" borderId="1" xfId="1" applyFont="1" applyFill="1" applyBorder="1"/>
    <xf numFmtId="44" fontId="7" fillId="0" borderId="4" xfId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44" fontId="4" fillId="11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44" fontId="8" fillId="2" borderId="1" xfId="1" applyFont="1" applyFill="1" applyBorder="1" applyAlignment="1">
      <alignment horizontal="center" vertical="center"/>
    </xf>
    <xf numFmtId="44" fontId="1" fillId="0" borderId="4" xfId="1" applyFont="1" applyBorder="1" applyAlignment="1">
      <alignment horizontal="center" vertical="center"/>
    </xf>
    <xf numFmtId="0" fontId="14" fillId="0" borderId="0" xfId="0" applyFont="1"/>
    <xf numFmtId="44" fontId="1" fillId="0" borderId="2" xfId="1" applyFont="1" applyBorder="1" applyAlignment="1">
      <alignment horizontal="center" vertical="center"/>
    </xf>
    <xf numFmtId="44" fontId="4" fillId="0" borderId="4" xfId="1" applyFont="1" applyBorder="1" applyAlignment="1">
      <alignment horizontal="center" vertical="center"/>
    </xf>
    <xf numFmtId="44" fontId="1" fillId="2" borderId="5" xfId="1" applyFont="1" applyFill="1" applyBorder="1" applyAlignment="1">
      <alignment horizontal="center" vertical="center"/>
    </xf>
    <xf numFmtId="44" fontId="1" fillId="0" borderId="2" xfId="1" applyFont="1" applyBorder="1"/>
    <xf numFmtId="44" fontId="4" fillId="2" borderId="5" xfId="1" applyFont="1" applyFill="1" applyBorder="1" applyAlignment="1">
      <alignment horizontal="center" vertical="center"/>
    </xf>
    <xf numFmtId="44" fontId="1" fillId="0" borderId="4" xfId="1" applyFont="1" applyBorder="1"/>
    <xf numFmtId="44" fontId="1" fillId="0" borderId="1" xfId="1" applyFont="1" applyBorder="1"/>
    <xf numFmtId="44" fontId="8" fillId="5" borderId="4" xfId="1" applyFont="1" applyFill="1" applyBorder="1"/>
    <xf numFmtId="44" fontId="3" fillId="5" borderId="1" xfId="1" applyFont="1" applyFill="1" applyBorder="1"/>
    <xf numFmtId="44" fontId="13" fillId="5" borderId="1" xfId="1" applyFont="1" applyFill="1" applyBorder="1"/>
    <xf numFmtId="44" fontId="9" fillId="9" borderId="4" xfId="1" applyFont="1" applyFill="1" applyBorder="1" applyAlignment="1">
      <alignment horizontal="center" vertical="center"/>
    </xf>
    <xf numFmtId="44" fontId="3" fillId="9" borderId="2" xfId="1" applyFont="1" applyFill="1" applyBorder="1"/>
    <xf numFmtId="0" fontId="0" fillId="9" borderId="5" xfId="0" applyFill="1" applyBorder="1"/>
    <xf numFmtId="44" fontId="8" fillId="9" borderId="4" xfId="1" applyFont="1" applyFill="1" applyBorder="1"/>
    <xf numFmtId="44" fontId="3" fillId="9" borderId="1" xfId="1" applyFont="1" applyFill="1" applyBorder="1"/>
    <xf numFmtId="44" fontId="0" fillId="9" borderId="1" xfId="1" applyFont="1" applyFill="1" applyBorder="1"/>
    <xf numFmtId="44" fontId="3" fillId="2" borderId="1" xfId="1" applyFont="1" applyFill="1" applyBorder="1"/>
    <xf numFmtId="0" fontId="0" fillId="2" borderId="5" xfId="0" applyFill="1" applyBorder="1"/>
    <xf numFmtId="44" fontId="6" fillId="0" borderId="1" xfId="1" applyFont="1" applyBorder="1"/>
    <xf numFmtId="44" fontId="12" fillId="0" borderId="1" xfId="1" applyFont="1" applyBorder="1"/>
    <xf numFmtId="44" fontId="15" fillId="0" borderId="1" xfId="1" applyFont="1" applyBorder="1" applyAlignment="1">
      <alignment horizontal="center" vertical="center"/>
    </xf>
    <xf numFmtId="44" fontId="16" fillId="0" borderId="1" xfId="1" applyFont="1" applyBorder="1"/>
    <xf numFmtId="44" fontId="17" fillId="0" borderId="1" xfId="1" applyFont="1" applyBorder="1"/>
    <xf numFmtId="44" fontId="3" fillId="0" borderId="2" xfId="1" applyFont="1" applyFill="1" applyBorder="1"/>
    <xf numFmtId="44" fontId="0" fillId="7" borderId="2" xfId="1" applyFont="1" applyFill="1" applyBorder="1" applyAlignment="1">
      <alignment horizontal="center" vertical="center"/>
    </xf>
    <xf numFmtId="44" fontId="4" fillId="0" borderId="1" xfId="1" applyFont="1" applyBorder="1"/>
    <xf numFmtId="44" fontId="8" fillId="0" borderId="1" xfId="1" applyFont="1" applyFill="1" applyBorder="1"/>
    <xf numFmtId="44" fontId="3" fillId="0" borderId="1" xfId="1" applyFont="1" applyFill="1" applyBorder="1"/>
    <xf numFmtId="44" fontId="2" fillId="5" borderId="2" xfId="1" applyFont="1" applyFill="1" applyBorder="1" applyAlignment="1">
      <alignment horizontal="center" vertical="center"/>
    </xf>
    <xf numFmtId="44" fontId="2" fillId="5" borderId="6" xfId="1" applyFont="1" applyFill="1" applyBorder="1" applyAlignment="1">
      <alignment horizontal="center" vertical="center"/>
    </xf>
    <xf numFmtId="44" fontId="10" fillId="5" borderId="6" xfId="1" applyFont="1" applyFill="1" applyBorder="1" applyAlignment="1">
      <alignment horizontal="center" vertical="center"/>
    </xf>
    <xf numFmtId="44" fontId="6" fillId="5" borderId="6" xfId="1" applyFont="1" applyFill="1" applyBorder="1" applyAlignment="1">
      <alignment horizontal="center" vertical="center"/>
    </xf>
    <xf numFmtId="44" fontId="15" fillId="5" borderId="6" xfId="1" applyFont="1" applyFill="1" applyBorder="1" applyAlignment="1">
      <alignment horizontal="center" vertical="center"/>
    </xf>
    <xf numFmtId="44" fontId="2" fillId="5" borderId="4" xfId="1" applyFont="1" applyFill="1" applyBorder="1" applyAlignment="1">
      <alignment horizontal="center" vertical="center"/>
    </xf>
    <xf numFmtId="44" fontId="18" fillId="0" borderId="1" xfId="1" applyFont="1" applyBorder="1"/>
    <xf numFmtId="44" fontId="15" fillId="0" borderId="4" xfId="1" applyFont="1" applyBorder="1" applyAlignment="1">
      <alignment horizontal="center" vertical="center"/>
    </xf>
    <xf numFmtId="44" fontId="15" fillId="0" borderId="2" xfId="1" applyFont="1" applyBorder="1" applyAlignment="1">
      <alignment horizontal="center" vertical="center"/>
    </xf>
    <xf numFmtId="44" fontId="15" fillId="2" borderId="5" xfId="1" applyFont="1" applyFill="1" applyBorder="1" applyAlignment="1">
      <alignment horizontal="center" vertical="center"/>
    </xf>
    <xf numFmtId="44" fontId="15" fillId="7" borderId="1" xfId="1" applyFont="1" applyFill="1" applyBorder="1" applyAlignment="1">
      <alignment horizontal="center" vertical="center"/>
    </xf>
    <xf numFmtId="44" fontId="15" fillId="0" borderId="2" xfId="1" applyFont="1" applyBorder="1"/>
    <xf numFmtId="0" fontId="15" fillId="2" borderId="5" xfId="0" applyFont="1" applyFill="1" applyBorder="1"/>
    <xf numFmtId="44" fontId="15" fillId="0" borderId="4" xfId="1" applyFont="1" applyBorder="1"/>
    <xf numFmtId="44" fontId="15" fillId="0" borderId="1" xfId="1" applyFont="1" applyBorder="1"/>
    <xf numFmtId="44" fontId="8" fillId="0" borderId="2" xfId="1" applyFont="1" applyBorder="1" applyAlignment="1">
      <alignment horizontal="center" vertical="center"/>
    </xf>
    <xf numFmtId="44" fontId="8" fillId="2" borderId="5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5" xfId="0" applyFont="1" applyFill="1" applyBorder="1"/>
    <xf numFmtId="44" fontId="15" fillId="0" borderId="1" xfId="1" applyFont="1" applyFill="1" applyBorder="1"/>
    <xf numFmtId="44" fontId="6" fillId="0" borderId="1" xfId="1" applyFont="1" applyFill="1" applyBorder="1"/>
    <xf numFmtId="44" fontId="0" fillId="0" borderId="1" xfId="1" applyFont="1" applyFill="1" applyBorder="1"/>
    <xf numFmtId="44" fontId="0" fillId="9" borderId="2" xfId="1" applyFont="1" applyFill="1" applyBorder="1"/>
    <xf numFmtId="44" fontId="0" fillId="9" borderId="5" xfId="1" applyFont="1" applyFill="1" applyBorder="1"/>
    <xf numFmtId="44" fontId="13" fillId="9" borderId="1" xfId="1" applyFont="1" applyFill="1" applyBorder="1"/>
    <xf numFmtId="44" fontId="0" fillId="2" borderId="1" xfId="1" applyFont="1" applyFill="1" applyBorder="1"/>
    <xf numFmtId="44" fontId="3" fillId="0" borderId="2" xfId="1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4" fontId="10" fillId="0" borderId="2" xfId="1" applyFont="1" applyBorder="1" applyAlignment="1">
      <alignment horizontal="center" vertical="center"/>
    </xf>
    <xf numFmtId="44" fontId="10" fillId="2" borderId="5" xfId="1" applyFont="1" applyFill="1" applyBorder="1" applyAlignment="1">
      <alignment horizontal="center" vertical="center"/>
    </xf>
    <xf numFmtId="44" fontId="10" fillId="0" borderId="4" xfId="1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44" fontId="10" fillId="7" borderId="1" xfId="1" applyFont="1" applyFill="1" applyBorder="1" applyAlignment="1">
      <alignment horizontal="center" vertical="center"/>
    </xf>
    <xf numFmtId="44" fontId="10" fillId="0" borderId="2" xfId="1" applyFont="1" applyBorder="1"/>
    <xf numFmtId="0" fontId="4" fillId="2" borderId="5" xfId="0" applyFont="1" applyFill="1" applyBorder="1"/>
    <xf numFmtId="44" fontId="10" fillId="0" borderId="4" xfId="1" applyFont="1" applyBorder="1"/>
    <xf numFmtId="44" fontId="4" fillId="0" borderId="2" xfId="1" applyFont="1" applyBorder="1" applyAlignment="1">
      <alignment horizontal="center" vertical="center"/>
    </xf>
    <xf numFmtId="44" fontId="10" fillId="0" borderId="1" xfId="1" applyFont="1" applyFill="1" applyBorder="1" applyAlignment="1">
      <alignment horizontal="center" vertical="center"/>
    </xf>
    <xf numFmtId="44" fontId="4" fillId="12" borderId="1" xfId="1" applyFont="1" applyFill="1" applyBorder="1" applyAlignment="1">
      <alignment horizontal="center" vertical="center"/>
    </xf>
    <xf numFmtId="44" fontId="15" fillId="0" borderId="1" xfId="1" applyFont="1" applyFill="1" applyBorder="1" applyAlignment="1">
      <alignment horizontal="center" vertical="center"/>
    </xf>
    <xf numFmtId="44" fontId="6" fillId="0" borderId="2" xfId="1" applyFont="1" applyBorder="1"/>
    <xf numFmtId="44" fontId="19" fillId="0" borderId="1" xfId="1" applyFont="1" applyBorder="1"/>
    <xf numFmtId="44" fontId="13" fillId="11" borderId="1" xfId="1" applyFont="1" applyFill="1" applyBorder="1"/>
    <xf numFmtId="44" fontId="0" fillId="11" borderId="1" xfId="1" applyFont="1" applyFill="1" applyBorder="1"/>
    <xf numFmtId="44" fontId="10" fillId="11" borderId="1" xfId="1" applyFont="1" applyFill="1" applyBorder="1" applyAlignment="1">
      <alignment horizontal="center" vertical="center"/>
    </xf>
    <xf numFmtId="44" fontId="10" fillId="5" borderId="1" xfId="1" applyFont="1" applyFill="1" applyBorder="1"/>
    <xf numFmtId="44" fontId="6" fillId="5" borderId="1" xfId="1" applyFont="1" applyFill="1" applyBorder="1"/>
    <xf numFmtId="44" fontId="20" fillId="0" borderId="1" xfId="1" applyFont="1" applyBorder="1"/>
    <xf numFmtId="44" fontId="13" fillId="0" borderId="1" xfId="1" applyFont="1" applyFill="1" applyBorder="1"/>
    <xf numFmtId="44" fontId="15" fillId="5" borderId="4" xfId="1" applyFont="1" applyFill="1" applyBorder="1" applyAlignment="1">
      <alignment horizontal="center" vertical="center"/>
    </xf>
    <xf numFmtId="44" fontId="15" fillId="5" borderId="1" xfId="1" applyFont="1" applyFill="1" applyBorder="1" applyAlignment="1">
      <alignment horizontal="center" vertical="center"/>
    </xf>
    <xf numFmtId="44" fontId="15" fillId="5" borderId="2" xfId="1" applyFont="1" applyFill="1" applyBorder="1"/>
    <xf numFmtId="0" fontId="15" fillId="5" borderId="5" xfId="0" applyFont="1" applyFill="1" applyBorder="1"/>
    <xf numFmtId="44" fontId="15" fillId="5" borderId="4" xfId="1" applyFont="1" applyFill="1" applyBorder="1"/>
    <xf numFmtId="44" fontId="15" fillId="5" borderId="1" xfId="1" applyFont="1" applyFill="1" applyBorder="1"/>
    <xf numFmtId="44" fontId="15" fillId="5" borderId="0" xfId="1" applyFont="1" applyFill="1" applyBorder="1"/>
    <xf numFmtId="44" fontId="6" fillId="5" borderId="6" xfId="1" applyFont="1" applyFill="1" applyBorder="1"/>
    <xf numFmtId="44" fontId="8" fillId="5" borderId="6" xfId="1" applyFont="1" applyFill="1" applyBorder="1"/>
    <xf numFmtId="44" fontId="3" fillId="5" borderId="6" xfId="1" applyFont="1" applyFill="1" applyBorder="1"/>
    <xf numFmtId="44" fontId="16" fillId="5" borderId="6" xfId="1" applyFont="1" applyFill="1" applyBorder="1"/>
    <xf numFmtId="0" fontId="9" fillId="0" borderId="4" xfId="1" applyNumberFormat="1" applyFont="1" applyBorder="1" applyAlignment="1">
      <alignment horizontal="center" vertical="center"/>
    </xf>
    <xf numFmtId="44" fontId="8" fillId="0" borderId="0" xfId="1" applyFont="1"/>
    <xf numFmtId="44" fontId="6" fillId="5" borderId="1" xfId="1" applyFont="1" applyFill="1" applyBorder="1" applyAlignment="1">
      <alignment horizontal="center" vertical="center"/>
    </xf>
    <xf numFmtId="44" fontId="2" fillId="5" borderId="1" xfId="1" applyFont="1" applyFill="1" applyBorder="1" applyAlignment="1">
      <alignment horizontal="center" vertical="center"/>
    </xf>
    <xf numFmtId="44" fontId="16" fillId="0" borderId="2" xfId="1" applyFont="1" applyBorder="1"/>
    <xf numFmtId="44" fontId="10" fillId="0" borderId="1" xfId="1" applyFont="1" applyFill="1" applyBorder="1"/>
    <xf numFmtId="44" fontId="16" fillId="0" borderId="2" xfId="1" applyFont="1" applyFill="1" applyBorder="1"/>
    <xf numFmtId="44" fontId="9" fillId="9" borderId="7" xfId="1" applyFont="1" applyFill="1" applyBorder="1" applyAlignment="1">
      <alignment horizontal="center" vertical="center"/>
    </xf>
    <xf numFmtId="44" fontId="0" fillId="9" borderId="3" xfId="1" applyFont="1" applyFill="1" applyBorder="1" applyAlignment="1">
      <alignment horizontal="center" vertical="center"/>
    </xf>
    <xf numFmtId="44" fontId="0" fillId="9" borderId="8" xfId="1" applyFont="1" applyFill="1" applyBorder="1" applyAlignment="1">
      <alignment horizontal="center" vertical="center"/>
    </xf>
    <xf numFmtId="44" fontId="0" fillId="9" borderId="7" xfId="1" applyFont="1" applyFill="1" applyBorder="1" applyAlignment="1">
      <alignment horizontal="center" vertical="center"/>
    </xf>
    <xf numFmtId="44" fontId="8" fillId="9" borderId="3" xfId="1" applyFont="1" applyFill="1" applyBorder="1" applyAlignment="1">
      <alignment horizontal="center" vertical="center"/>
    </xf>
    <xf numFmtId="44" fontId="3" fillId="9" borderId="3" xfId="1" applyFont="1" applyFill="1" applyBorder="1" applyAlignment="1">
      <alignment horizontal="center" vertical="center"/>
    </xf>
    <xf numFmtId="44" fontId="3" fillId="9" borderId="8" xfId="1" applyFont="1" applyFill="1" applyBorder="1"/>
    <xf numFmtId="44" fontId="8" fillId="9" borderId="7" xfId="1" applyFont="1" applyFill="1" applyBorder="1"/>
    <xf numFmtId="44" fontId="8" fillId="9" borderId="3" xfId="1" applyFont="1" applyFill="1" applyBorder="1"/>
    <xf numFmtId="44" fontId="3" fillId="9" borderId="3" xfId="1" applyFont="1" applyFill="1" applyBorder="1"/>
    <xf numFmtId="44" fontId="13" fillId="9" borderId="8" xfId="1" applyFont="1" applyFill="1" applyBorder="1"/>
    <xf numFmtId="44" fontId="13" fillId="2" borderId="1" xfId="1" applyFont="1" applyFill="1" applyBorder="1"/>
    <xf numFmtId="0" fontId="0" fillId="2" borderId="1" xfId="0" applyFill="1" applyBorder="1"/>
    <xf numFmtId="44" fontId="10" fillId="5" borderId="1" xfId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44" fontId="6" fillId="2" borderId="1" xfId="1" applyFont="1" applyFill="1" applyBorder="1" applyAlignment="1">
      <alignment horizontal="center" vertical="center"/>
    </xf>
    <xf numFmtId="44" fontId="15" fillId="2" borderId="1" xfId="1" applyFont="1" applyFill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3" fillId="5" borderId="7" xfId="1" applyFont="1" applyFill="1" applyBorder="1"/>
    <xf numFmtId="44" fontId="3" fillId="5" borderId="3" xfId="1" applyFont="1" applyFill="1" applyBorder="1"/>
    <xf numFmtId="44" fontId="0" fillId="5" borderId="3" xfId="1" applyFont="1" applyFill="1" applyBorder="1"/>
    <xf numFmtId="44" fontId="0" fillId="2" borderId="3" xfId="1" applyFont="1" applyFill="1" applyBorder="1"/>
    <xf numFmtId="44" fontId="3" fillId="2" borderId="3" xfId="1" applyFont="1" applyFill="1" applyBorder="1"/>
    <xf numFmtId="44" fontId="13" fillId="2" borderId="3" xfId="1" applyFont="1" applyFill="1" applyBorder="1"/>
    <xf numFmtId="44" fontId="8" fillId="0" borderId="3" xfId="1" applyFont="1" applyFill="1" applyBorder="1"/>
    <xf numFmtId="44" fontId="3" fillId="0" borderId="3" xfId="1" applyFont="1" applyFill="1" applyBorder="1"/>
    <xf numFmtId="44" fontId="0" fillId="0" borderId="3" xfId="1" applyFont="1" applyFill="1" applyBorder="1"/>
    <xf numFmtId="44" fontId="7" fillId="9" borderId="4" xfId="1" applyFont="1" applyFill="1" applyBorder="1" applyAlignment="1">
      <alignment horizontal="center" vertical="center"/>
    </xf>
    <xf numFmtId="44" fontId="19" fillId="9" borderId="1" xfId="1" applyFont="1" applyFill="1" applyBorder="1" applyAlignment="1">
      <alignment horizontal="center" vertical="center"/>
    </xf>
    <xf numFmtId="0" fontId="0" fillId="9" borderId="1" xfId="0" applyFill="1" applyBorder="1"/>
    <xf numFmtId="44" fontId="3" fillId="5" borderId="4" xfId="1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44" fontId="13" fillId="2" borderId="1" xfId="1" applyFont="1" applyFill="1" applyBorder="1" applyAlignment="1">
      <alignment horizontal="center" vertical="center"/>
    </xf>
    <xf numFmtId="44" fontId="16" fillId="0" borderId="1" xfId="1" applyFont="1" applyBorder="1" applyAlignment="1">
      <alignment horizontal="center" vertical="center"/>
    </xf>
    <xf numFmtId="44" fontId="3" fillId="0" borderId="7" xfId="1" applyFont="1" applyBorder="1" applyAlignment="1">
      <alignment horizontal="center" vertical="center"/>
    </xf>
    <xf numFmtId="44" fontId="8" fillId="0" borderId="3" xfId="1" applyFon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44" fontId="13" fillId="0" borderId="3" xfId="1" applyFont="1" applyBorder="1" applyAlignment="1">
      <alignment horizontal="center" vertical="center"/>
    </xf>
    <xf numFmtId="44" fontId="3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1" applyNumberFormat="1" applyFont="1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44" fontId="0" fillId="2" borderId="3" xfId="1" applyFont="1" applyFill="1" applyBorder="1" applyAlignment="1">
      <alignment horizontal="center" vertical="center"/>
    </xf>
    <xf numFmtId="44" fontId="21" fillId="5" borderId="3" xfId="1" applyFont="1" applyFill="1" applyBorder="1" applyAlignment="1">
      <alignment horizontal="center" vertical="center"/>
    </xf>
    <xf numFmtId="44" fontId="0" fillId="5" borderId="3" xfId="1" applyFont="1" applyFill="1" applyBorder="1" applyAlignment="1">
      <alignment horizontal="center" vertical="center"/>
    </xf>
    <xf numFmtId="164" fontId="8" fillId="5" borderId="3" xfId="0" applyNumberFormat="1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44" fontId="8" fillId="5" borderId="3" xfId="1" applyFont="1" applyFill="1" applyBorder="1" applyAlignment="1">
      <alignment horizontal="center" vertical="center"/>
    </xf>
    <xf numFmtId="164" fontId="8" fillId="5" borderId="3" xfId="0" applyNumberFormat="1" applyFont="1" applyFill="1" applyBorder="1" applyAlignment="1">
      <alignment vertical="center"/>
    </xf>
    <xf numFmtId="0" fontId="0" fillId="5" borderId="3" xfId="0" applyFill="1" applyBorder="1"/>
    <xf numFmtId="44" fontId="10" fillId="5" borderId="3" xfId="1" applyFont="1" applyFill="1" applyBorder="1" applyAlignment="1">
      <alignment horizontal="center" vertical="center"/>
    </xf>
    <xf numFmtId="44" fontId="6" fillId="5" borderId="3" xfId="1" applyFont="1" applyFill="1" applyBorder="1" applyAlignment="1">
      <alignment horizontal="center" vertical="center"/>
    </xf>
    <xf numFmtId="44" fontId="16" fillId="0" borderId="3" xfId="1" applyFont="1" applyBorder="1" applyAlignment="1">
      <alignment horizontal="center" vertical="center"/>
    </xf>
    <xf numFmtId="44" fontId="8" fillId="0" borderId="3" xfId="1" applyFont="1" applyBorder="1"/>
    <xf numFmtId="44" fontId="8" fillId="0" borderId="7" xfId="1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44" fontId="21" fillId="0" borderId="1" xfId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44" fontId="0" fillId="0" borderId="0" xfId="1" applyFont="1" applyAlignment="1">
      <alignment horizontal="center"/>
    </xf>
    <xf numFmtId="44" fontId="0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44" fontId="8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44" fontId="3" fillId="0" borderId="0" xfId="1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0" xfId="0" applyNumberFormat="1" applyFont="1"/>
    <xf numFmtId="164" fontId="3" fillId="0" borderId="0" xfId="0" applyNumberFormat="1" applyFont="1"/>
    <xf numFmtId="0" fontId="8" fillId="0" borderId="0" xfId="0" applyFont="1"/>
    <xf numFmtId="44" fontId="0" fillId="8" borderId="1" xfId="1" applyFont="1" applyFill="1" applyBorder="1"/>
    <xf numFmtId="44" fontId="0" fillId="0" borderId="0" xfId="1" applyFont="1" applyBorder="1" applyAlignment="1">
      <alignment horizontal="center"/>
    </xf>
    <xf numFmtId="44" fontId="0" fillId="3" borderId="1" xfId="1" applyFont="1" applyFill="1" applyBorder="1"/>
    <xf numFmtId="44" fontId="0" fillId="0" borderId="0" xfId="1" applyFont="1" applyFill="1"/>
    <xf numFmtId="44" fontId="0" fillId="13" borderId="1" xfId="1" applyFont="1" applyFill="1" applyBorder="1"/>
    <xf numFmtId="44" fontId="0" fillId="14" borderId="1" xfId="1" applyFont="1" applyFill="1" applyBorder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4" fontId="0" fillId="0" borderId="3" xfId="1" applyFont="1" applyBorder="1"/>
    <xf numFmtId="0" fontId="0" fillId="0" borderId="3" xfId="0" applyBorder="1"/>
    <xf numFmtId="4" fontId="0" fillId="0" borderId="3" xfId="0" applyNumberFormat="1" applyBorder="1"/>
    <xf numFmtId="44" fontId="0" fillId="0" borderId="3" xfId="1" applyFont="1" applyFill="1" applyBorder="1" applyAlignment="1">
      <alignment horizontal="center" vertical="center"/>
    </xf>
    <xf numFmtId="44" fontId="4" fillId="0" borderId="3" xfId="1" applyFont="1" applyBorder="1"/>
    <xf numFmtId="0" fontId="0" fillId="0" borderId="9" xfId="0" applyBorder="1" applyAlignment="1">
      <alignment horizontal="center" vertical="center"/>
    </xf>
    <xf numFmtId="0" fontId="0" fillId="0" borderId="9" xfId="0" applyBorder="1"/>
    <xf numFmtId="44" fontId="0" fillId="0" borderId="9" xfId="1" applyFont="1" applyBorder="1"/>
    <xf numFmtId="44" fontId="3" fillId="0" borderId="9" xfId="1" applyFont="1" applyBorder="1"/>
    <xf numFmtId="44" fontId="8" fillId="0" borderId="9" xfId="1" applyFont="1" applyBorder="1"/>
    <xf numFmtId="44" fontId="1" fillId="0" borderId="9" xfId="1" applyFont="1" applyBorder="1"/>
    <xf numFmtId="44" fontId="0" fillId="0" borderId="9" xfId="1" applyFont="1" applyBorder="1" applyAlignment="1">
      <alignment horizontal="center" vertical="center"/>
    </xf>
    <xf numFmtId="44" fontId="8" fillId="2" borderId="9" xfId="1" applyFont="1" applyFill="1" applyBorder="1"/>
    <xf numFmtId="44" fontId="8" fillId="0" borderId="9" xfId="1" applyFont="1" applyFill="1" applyBorder="1"/>
    <xf numFmtId="44" fontId="0" fillId="0" borderId="9" xfId="1" applyFont="1" applyFill="1" applyBorder="1" applyAlignment="1">
      <alignment horizontal="center" vertical="center"/>
    </xf>
    <xf numFmtId="164" fontId="0" fillId="0" borderId="9" xfId="0" applyNumberFormat="1" applyBorder="1"/>
    <xf numFmtId="0" fontId="4" fillId="0" borderId="3" xfId="0" applyFont="1" applyBorder="1" applyAlignment="1">
      <alignment horizontal="center" vertical="center"/>
    </xf>
    <xf numFmtId="44" fontId="8" fillId="0" borderId="0" xfId="1" applyFont="1" applyAlignment="1" applyProtection="1">
      <alignment wrapText="1"/>
      <protection locked="0"/>
    </xf>
    <xf numFmtId="44" fontId="0" fillId="14" borderId="1" xfId="1" applyFont="1" applyFill="1" applyBorder="1" applyAlignment="1">
      <alignment horizontal="center" vertical="center"/>
    </xf>
    <xf numFmtId="44" fontId="3" fillId="14" borderId="1" xfId="1" applyFont="1" applyFill="1" applyBorder="1" applyAlignment="1">
      <alignment horizontal="center" vertical="center"/>
    </xf>
    <xf numFmtId="44" fontId="8" fillId="14" borderId="1" xfId="1" applyFont="1" applyFill="1" applyBorder="1" applyAlignment="1">
      <alignment horizontal="center" vertical="center"/>
    </xf>
    <xf numFmtId="4" fontId="0" fillId="0" borderId="0" xfId="0" applyNumberFormat="1"/>
    <xf numFmtId="44" fontId="1" fillId="5" borderId="1" xfId="1" applyFont="1" applyFill="1" applyBorder="1"/>
    <xf numFmtId="0" fontId="0" fillId="0" borderId="5" xfId="0" applyBorder="1" applyAlignment="1">
      <alignment horizontal="center" vertical="center"/>
    </xf>
    <xf numFmtId="44" fontId="22" fillId="0" borderId="0" xfId="1" applyFont="1"/>
    <xf numFmtId="44" fontId="1" fillId="0" borderId="1" xfId="1" applyFont="1" applyFill="1" applyBorder="1"/>
    <xf numFmtId="44" fontId="1" fillId="0" borderId="3" xfId="1" applyFont="1" applyBorder="1"/>
    <xf numFmtId="44" fontId="3" fillId="0" borderId="3" xfId="1" applyFont="1" applyBorder="1"/>
    <xf numFmtId="44" fontId="13" fillId="0" borderId="3" xfId="1" applyFont="1" applyBorder="1"/>
    <xf numFmtId="44" fontId="8" fillId="0" borderId="0" xfId="1" applyFont="1" applyBorder="1"/>
    <xf numFmtId="164" fontId="0" fillId="0" borderId="9" xfId="0" applyNumberForma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4" fontId="8" fillId="0" borderId="10" xfId="1" applyFont="1" applyBorder="1"/>
    <xf numFmtId="164" fontId="0" fillId="0" borderId="0" xfId="0" applyNumberFormat="1"/>
    <xf numFmtId="44" fontId="0" fillId="0" borderId="0" xfId="1" applyFont="1" applyFill="1" applyBorder="1"/>
    <xf numFmtId="44" fontId="8" fillId="0" borderId="5" xfId="1" applyFont="1" applyFill="1" applyBorder="1"/>
    <xf numFmtId="44" fontId="8" fillId="0" borderId="0" xfId="1" applyFont="1" applyFill="1" applyBorder="1"/>
    <xf numFmtId="44" fontId="8" fillId="5" borderId="5" xfId="1" applyFont="1" applyFill="1" applyBorder="1"/>
    <xf numFmtId="44" fontId="8" fillId="5" borderId="0" xfId="1" applyFont="1" applyFill="1" applyBorder="1"/>
    <xf numFmtId="164" fontId="0" fillId="0" borderId="1" xfId="0" applyNumberFormat="1" applyBorder="1" applyAlignment="1">
      <alignment horizontal="center" vertical="center"/>
    </xf>
    <xf numFmtId="0" fontId="0" fillId="5" borderId="0" xfId="0" applyFill="1"/>
    <xf numFmtId="0" fontId="2" fillId="8" borderId="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44" fontId="2" fillId="8" borderId="1" xfId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44" fontId="0" fillId="0" borderId="11" xfId="1" applyFont="1" applyBorder="1"/>
    <xf numFmtId="0" fontId="0" fillId="8" borderId="0" xfId="0" applyFill="1"/>
    <xf numFmtId="0" fontId="8" fillId="2" borderId="1" xfId="0" applyFont="1" applyFill="1" applyBorder="1" applyAlignment="1">
      <alignment horizontal="center" vertical="center"/>
    </xf>
    <xf numFmtId="44" fontId="0" fillId="15" borderId="11" xfId="1" applyFont="1" applyFill="1" applyBorder="1" applyAlignment="1">
      <alignment horizontal="center" vertical="center"/>
    </xf>
    <xf numFmtId="44" fontId="0" fillId="0" borderId="0" xfId="1" applyFont="1" applyAlignment="1">
      <alignment vertical="center"/>
    </xf>
    <xf numFmtId="0" fontId="0" fillId="8" borderId="12" xfId="0" applyFill="1" applyBorder="1"/>
    <xf numFmtId="44" fontId="0" fillId="0" borderId="4" xfId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44" fontId="0" fillId="8" borderId="12" xfId="1" applyFont="1" applyFill="1" applyBorder="1" applyAlignment="1">
      <alignment horizontal="center" vertical="center"/>
    </xf>
    <xf numFmtId="44" fontId="0" fillId="16" borderId="1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3" xfId="0" applyBorder="1"/>
    <xf numFmtId="0" fontId="8" fillId="2" borderId="3" xfId="0" applyFont="1" applyFill="1" applyBorder="1" applyAlignment="1">
      <alignment horizontal="center" vertical="center"/>
    </xf>
    <xf numFmtId="44" fontId="0" fillId="15" borderId="13" xfId="1" applyFont="1" applyFill="1" applyBorder="1" applyAlignment="1">
      <alignment horizontal="center" vertical="center"/>
    </xf>
    <xf numFmtId="44" fontId="0" fillId="0" borderId="7" xfId="1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44" fontId="0" fillId="0" borderId="7" xfId="1" applyFont="1" applyBorder="1"/>
    <xf numFmtId="0" fontId="0" fillId="2" borderId="1" xfId="0" applyFill="1" applyBorder="1" applyAlignment="1">
      <alignment horizontal="center"/>
    </xf>
    <xf numFmtId="0" fontId="0" fillId="8" borderId="1" xfId="0" applyFill="1" applyBorder="1"/>
    <xf numFmtId="44" fontId="0" fillId="15" borderId="1" xfId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44" fontId="0" fillId="8" borderId="1" xfId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44" fontId="0" fillId="0" borderId="14" xfId="1" applyFont="1" applyBorder="1"/>
    <xf numFmtId="0" fontId="8" fillId="2" borderId="9" xfId="0" applyFont="1" applyFill="1" applyBorder="1" applyAlignment="1">
      <alignment horizontal="center" vertical="center"/>
    </xf>
    <xf numFmtId="44" fontId="0" fillId="15" borderId="14" xfId="1" applyFont="1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44" fontId="0" fillId="0" borderId="15" xfId="1" applyFont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0" fillId="15" borderId="14" xfId="0" applyFill="1" applyBorder="1" applyAlignment="1">
      <alignment horizontal="center"/>
    </xf>
    <xf numFmtId="44" fontId="0" fillId="0" borderId="15" xfId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44" fontId="0" fillId="8" borderId="16" xfId="1" applyFont="1" applyFill="1" applyBorder="1" applyAlignment="1">
      <alignment horizontal="center" vertical="center"/>
    </xf>
    <xf numFmtId="44" fontId="0" fillId="0" borderId="4" xfId="1" applyFont="1" applyBorder="1" applyAlignment="1">
      <alignment horizontal="center" wrapText="1"/>
    </xf>
    <xf numFmtId="44" fontId="0" fillId="3" borderId="11" xfId="1" applyFont="1" applyFill="1" applyBorder="1"/>
    <xf numFmtId="44" fontId="0" fillId="7" borderId="11" xfId="1" applyFont="1" applyFill="1" applyBorder="1"/>
    <xf numFmtId="44" fontId="0" fillId="3" borderId="11" xfId="1" applyFont="1" applyFill="1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44" fontId="0" fillId="0" borderId="11" xfId="1" applyFont="1" applyFill="1" applyBorder="1" applyAlignment="1">
      <alignment horizontal="center" vertical="center"/>
    </xf>
    <xf numFmtId="44" fontId="0" fillId="17" borderId="11" xfId="1" applyFont="1" applyFill="1" applyBorder="1"/>
    <xf numFmtId="44" fontId="0" fillId="13" borderId="11" xfId="1" applyFont="1" applyFill="1" applyBorder="1"/>
    <xf numFmtId="4" fontId="0" fillId="0" borderId="4" xfId="0" applyNumberFormat="1" applyBorder="1" applyAlignment="1">
      <alignment horizontal="center"/>
    </xf>
    <xf numFmtId="44" fontId="0" fillId="7" borderId="4" xfId="1" applyFont="1" applyFill="1" applyBorder="1" applyAlignment="1">
      <alignment horizontal="center"/>
    </xf>
    <xf numFmtId="44" fontId="0" fillId="0" borderId="11" xfId="1" applyFont="1" applyFill="1" applyBorder="1"/>
    <xf numFmtId="0" fontId="0" fillId="2" borderId="7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15" borderId="13" xfId="0" applyFill="1" applyBorder="1"/>
    <xf numFmtId="44" fontId="0" fillId="16" borderId="17" xfId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/>
    </xf>
    <xf numFmtId="0" fontId="0" fillId="8" borderId="18" xfId="0" applyFill="1" applyBorder="1"/>
    <xf numFmtId="164" fontId="23" fillId="0" borderId="1" xfId="0" applyNumberFormat="1" applyFont="1" applyBorder="1" applyAlignment="1">
      <alignment horizontal="center" vertical="center"/>
    </xf>
    <xf numFmtId="164" fontId="23" fillId="0" borderId="11" xfId="0" applyNumberFormat="1" applyFont="1" applyBorder="1" applyAlignment="1">
      <alignment vertical="center"/>
    </xf>
    <xf numFmtId="44" fontId="8" fillId="2" borderId="1" xfId="1" applyFont="1" applyFill="1" applyBorder="1" applyAlignment="1">
      <alignment horizontal="center"/>
    </xf>
    <xf numFmtId="44" fontId="0" fillId="15" borderId="11" xfId="1" applyFont="1" applyFill="1" applyBorder="1" applyAlignment="1">
      <alignment horizontal="center"/>
    </xf>
    <xf numFmtId="44" fontId="0" fillId="0" borderId="19" xfId="1" applyFont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0" fontId="0" fillId="7" borderId="0" xfId="0" applyFill="1"/>
    <xf numFmtId="0" fontId="0" fillId="0" borderId="20" xfId="0" applyBorder="1"/>
    <xf numFmtId="44" fontId="0" fillId="0" borderId="21" xfId="1" applyFon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16" borderId="2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64" fontId="0" fillId="3" borderId="1" xfId="0" applyNumberFormat="1" applyFill="1" applyBorder="1"/>
    <xf numFmtId="0" fontId="0" fillId="0" borderId="22" xfId="0" applyBorder="1"/>
    <xf numFmtId="0" fontId="0" fillId="3" borderId="1" xfId="0" applyFill="1" applyBorder="1"/>
    <xf numFmtId="0" fontId="0" fillId="8" borderId="16" xfId="0" applyFill="1" applyBorder="1"/>
    <xf numFmtId="0" fontId="1" fillId="2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44" fontId="0" fillId="0" borderId="5" xfId="1" applyFont="1" applyFill="1" applyBorder="1"/>
    <xf numFmtId="0" fontId="0" fillId="16" borderId="3" xfId="0" applyFill="1" applyBorder="1" applyAlignment="1">
      <alignment horizontal="center" vertical="center"/>
    </xf>
    <xf numFmtId="4" fontId="24" fillId="0" borderId="1" xfId="0" applyNumberFormat="1" applyFont="1" applyBorder="1"/>
    <xf numFmtId="0" fontId="0" fillId="8" borderId="16" xfId="0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44" fontId="0" fillId="0" borderId="0" xfId="1" applyFont="1" applyAlignment="1">
      <alignment horizontal="center" vertical="center"/>
    </xf>
    <xf numFmtId="44" fontId="10" fillId="5" borderId="2" xfId="1" applyFont="1" applyFill="1" applyBorder="1" applyAlignment="1">
      <alignment horizontal="center" vertical="center"/>
    </xf>
    <xf numFmtId="44" fontId="10" fillId="5" borderId="6" xfId="1" applyFont="1" applyFill="1" applyBorder="1" applyAlignment="1">
      <alignment horizontal="center" vertical="center"/>
    </xf>
    <xf numFmtId="44" fontId="10" fillId="5" borderId="4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4" fontId="23" fillId="0" borderId="11" xfId="0" applyNumberFormat="1" applyFont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164" fontId="23" fillId="0" borderId="6" xfId="0" applyNumberFormat="1" applyFont="1" applyBorder="1" applyAlignment="1">
      <alignment horizontal="center" vertical="center"/>
    </xf>
    <xf numFmtId="164" fontId="23" fillId="0" borderId="4" xfId="0" applyNumberFormat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4629f75aeb2ff2d/0%20A%20municipalidad%20de%20San%20Pedro%20Norte/Econom&#237;a/Gastos/Gastos%20municipalidad.xlsx" TargetMode="External"/><Relationship Id="rId1" Type="http://schemas.openxmlformats.org/officeDocument/2006/relationships/externalLinkPath" Target="Gastos%20municipalid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stos"/>
      <sheetName val="Octubre"/>
      <sheetName val="Prof y pub"/>
      <sheetName val="Empleados"/>
      <sheetName val="Concejales"/>
      <sheetName val="Turismo y cultura"/>
      <sheetName val="Apoyo gerontológico"/>
      <sheetName val="Aumento"/>
    </sheetNames>
    <sheetDataSet>
      <sheetData sheetId="0"/>
      <sheetData sheetId="1"/>
      <sheetData sheetId="2">
        <row r="15">
          <cell r="P15">
            <v>25000</v>
          </cell>
          <cell r="Q15">
            <v>50000</v>
          </cell>
          <cell r="R15"/>
        </row>
        <row r="33">
          <cell r="E33">
            <v>6165749.9299999997</v>
          </cell>
        </row>
        <row r="35">
          <cell r="E35" t="str">
            <v>Abril</v>
          </cell>
        </row>
        <row r="36">
          <cell r="E36"/>
        </row>
        <row r="37">
          <cell r="E37">
            <v>200000</v>
          </cell>
        </row>
        <row r="38">
          <cell r="E38">
            <v>160000</v>
          </cell>
        </row>
        <row r="39">
          <cell r="E39">
            <v>5000</v>
          </cell>
        </row>
        <row r="40">
          <cell r="E40">
            <v>8000</v>
          </cell>
        </row>
        <row r="41">
          <cell r="E41">
            <v>5000</v>
          </cell>
        </row>
        <row r="42">
          <cell r="E42">
            <v>60000</v>
          </cell>
        </row>
        <row r="43">
          <cell r="E43">
            <v>5000</v>
          </cell>
        </row>
        <row r="44">
          <cell r="E44">
            <v>8000</v>
          </cell>
        </row>
        <row r="45">
          <cell r="E45"/>
        </row>
        <row r="46">
          <cell r="E46"/>
        </row>
        <row r="47">
          <cell r="E47"/>
        </row>
        <row r="48">
          <cell r="E48"/>
        </row>
        <row r="49">
          <cell r="E49"/>
        </row>
        <row r="50">
          <cell r="E50"/>
        </row>
        <row r="51">
          <cell r="E51"/>
        </row>
        <row r="52">
          <cell r="E52"/>
        </row>
        <row r="53">
          <cell r="E53"/>
        </row>
        <row r="54">
          <cell r="E54"/>
        </row>
        <row r="55">
          <cell r="E55"/>
        </row>
        <row r="56">
          <cell r="E56"/>
        </row>
        <row r="57">
          <cell r="E57"/>
        </row>
        <row r="58">
          <cell r="E58"/>
        </row>
        <row r="59">
          <cell r="E59">
            <v>451000</v>
          </cell>
        </row>
        <row r="70">
          <cell r="C70">
            <v>1973521.08</v>
          </cell>
          <cell r="D70">
            <v>1585949.93</v>
          </cell>
        </row>
      </sheetData>
      <sheetData sheetId="3"/>
      <sheetData sheetId="4">
        <row r="16">
          <cell r="F16">
            <v>330000</v>
          </cell>
          <cell r="G16">
            <v>330000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611C-D5EE-476B-A111-9F229EE21BE8}">
  <dimension ref="A1:J55"/>
  <sheetViews>
    <sheetView workbookViewId="0">
      <selection sqref="A1:XFD1048576"/>
    </sheetView>
  </sheetViews>
  <sheetFormatPr baseColWidth="10" defaultColWidth="10.7109375" defaultRowHeight="15" x14ac:dyDescent="0.25"/>
  <cols>
    <col min="2" max="2" width="14.85546875" bestFit="1" customWidth="1"/>
    <col min="4" max="4" width="14.42578125" bestFit="1" customWidth="1"/>
    <col min="5" max="5" width="36.42578125" customWidth="1"/>
    <col min="6" max="6" width="11" bestFit="1" customWidth="1"/>
    <col min="7" max="7" width="22" bestFit="1" customWidth="1"/>
    <col min="8" max="8" width="15.85546875" bestFit="1" customWidth="1"/>
    <col min="9" max="9" width="14" style="1" bestFit="1" customWidth="1"/>
    <col min="10" max="10" width="16.7109375" bestFit="1" customWidth="1"/>
  </cols>
  <sheetData>
    <row r="1" spans="1:10" x14ac:dyDescent="0.25">
      <c r="A1" t="s">
        <v>0</v>
      </c>
      <c r="B1" s="1">
        <v>150000</v>
      </c>
      <c r="H1" s="2" t="s">
        <v>1</v>
      </c>
      <c r="I1" s="3" t="s">
        <v>2</v>
      </c>
      <c r="J1" s="4" t="s">
        <v>2</v>
      </c>
    </row>
    <row r="2" spans="1:10" ht="15.75" x14ac:dyDescent="0.25">
      <c r="A2" t="s">
        <v>3</v>
      </c>
      <c r="B2" s="1">
        <v>50000</v>
      </c>
      <c r="D2" s="5" t="e">
        <f>SUM(#REF!)</f>
        <v>#REF!</v>
      </c>
      <c r="E2" s="6" t="s">
        <v>4</v>
      </c>
      <c r="F2" s="7" t="s">
        <v>5</v>
      </c>
      <c r="G2" s="8"/>
      <c r="H2" s="9">
        <f>SUM(H1:H1)</f>
        <v>0</v>
      </c>
      <c r="I2" s="3">
        <f>SUM(I1:I1)</f>
        <v>0</v>
      </c>
      <c r="J2" s="10" t="s">
        <v>6</v>
      </c>
    </row>
    <row r="3" spans="1:10" x14ac:dyDescent="0.25">
      <c r="A3" t="s">
        <v>7</v>
      </c>
      <c r="B3" s="1">
        <v>90000</v>
      </c>
      <c r="D3" s="8">
        <v>90000</v>
      </c>
      <c r="E3" s="11" t="s">
        <v>8</v>
      </c>
      <c r="F3" s="12" t="s">
        <v>9</v>
      </c>
      <c r="G3" s="13" t="s">
        <v>10</v>
      </c>
      <c r="H3" s="13">
        <v>90000</v>
      </c>
      <c r="I3" s="13">
        <v>150000</v>
      </c>
      <c r="J3" s="10">
        <v>200000</v>
      </c>
    </row>
    <row r="4" spans="1:10" x14ac:dyDescent="0.25">
      <c r="A4" t="s">
        <v>11</v>
      </c>
      <c r="B4" s="1">
        <v>200000</v>
      </c>
      <c r="D4" s="8">
        <v>120000</v>
      </c>
      <c r="E4" s="14" t="s">
        <v>12</v>
      </c>
      <c r="F4" s="12" t="s">
        <v>13</v>
      </c>
      <c r="G4" s="13" t="s">
        <v>14</v>
      </c>
      <c r="H4" s="15">
        <v>133100</v>
      </c>
      <c r="I4" s="13">
        <v>150000</v>
      </c>
      <c r="J4" s="10">
        <v>200000</v>
      </c>
    </row>
    <row r="5" spans="1:10" x14ac:dyDescent="0.25">
      <c r="A5" t="s">
        <v>15</v>
      </c>
      <c r="B5" s="1">
        <v>75000</v>
      </c>
      <c r="D5" s="8">
        <v>120000</v>
      </c>
      <c r="E5" s="14" t="s">
        <v>16</v>
      </c>
      <c r="F5" s="12" t="s">
        <v>13</v>
      </c>
      <c r="G5" s="13" t="s">
        <v>14</v>
      </c>
      <c r="H5" s="16">
        <v>143130</v>
      </c>
      <c r="I5" s="13">
        <v>150000</v>
      </c>
      <c r="J5" s="10">
        <v>200000</v>
      </c>
    </row>
    <row r="6" spans="1:10" x14ac:dyDescent="0.25">
      <c r="A6" t="s">
        <v>17</v>
      </c>
      <c r="D6" s="8">
        <v>120000</v>
      </c>
      <c r="E6" s="14" t="s">
        <v>18</v>
      </c>
      <c r="F6" s="12" t="s">
        <v>13</v>
      </c>
      <c r="G6" s="13" t="s">
        <v>14</v>
      </c>
      <c r="H6" s="13">
        <v>130000</v>
      </c>
      <c r="I6" s="13">
        <v>150000</v>
      </c>
      <c r="J6" s="10">
        <v>200000</v>
      </c>
    </row>
    <row r="7" spans="1:10" x14ac:dyDescent="0.25">
      <c r="A7" t="s">
        <v>19</v>
      </c>
      <c r="B7" s="1">
        <v>50000</v>
      </c>
      <c r="D7" s="8">
        <v>60000</v>
      </c>
      <c r="E7" s="17" t="s">
        <v>20</v>
      </c>
      <c r="F7" s="12" t="s">
        <v>9</v>
      </c>
      <c r="G7" s="13" t="s">
        <v>10</v>
      </c>
      <c r="H7" s="13">
        <v>80000</v>
      </c>
      <c r="I7" s="13">
        <v>100000</v>
      </c>
      <c r="J7" s="10">
        <v>200000</v>
      </c>
    </row>
    <row r="8" spans="1:10" x14ac:dyDescent="0.25">
      <c r="D8" s="8">
        <v>90000</v>
      </c>
      <c r="E8" s="14" t="s">
        <v>21</v>
      </c>
      <c r="F8" s="12" t="s">
        <v>22</v>
      </c>
      <c r="G8" s="13" t="s">
        <v>14</v>
      </c>
      <c r="H8" s="16">
        <v>108100</v>
      </c>
      <c r="I8" s="13">
        <v>180000</v>
      </c>
      <c r="J8" s="10">
        <v>200000</v>
      </c>
    </row>
    <row r="9" spans="1:10" x14ac:dyDescent="0.25">
      <c r="D9" s="8">
        <v>40000</v>
      </c>
      <c r="E9" s="17" t="s">
        <v>23</v>
      </c>
      <c r="F9" s="12" t="s">
        <v>9</v>
      </c>
      <c r="G9" s="13" t="s">
        <v>10</v>
      </c>
      <c r="H9" s="13">
        <v>40000</v>
      </c>
      <c r="I9" s="13">
        <v>80000</v>
      </c>
      <c r="J9" s="10">
        <v>200000</v>
      </c>
    </row>
    <row r="10" spans="1:10" x14ac:dyDescent="0.25">
      <c r="D10" s="8">
        <v>100000</v>
      </c>
      <c r="E10" s="17" t="s">
        <v>24</v>
      </c>
      <c r="F10" s="12" t="s">
        <v>9</v>
      </c>
      <c r="G10" s="13" t="s">
        <v>10</v>
      </c>
      <c r="H10" s="13">
        <v>130000</v>
      </c>
      <c r="I10" s="13">
        <v>150000</v>
      </c>
      <c r="J10" s="10">
        <v>200000</v>
      </c>
    </row>
    <row r="11" spans="1:10" x14ac:dyDescent="0.25">
      <c r="D11" s="8">
        <v>150000</v>
      </c>
      <c r="E11" s="14" t="s">
        <v>25</v>
      </c>
      <c r="F11" s="12" t="s">
        <v>9</v>
      </c>
      <c r="G11" s="13" t="s">
        <v>14</v>
      </c>
      <c r="H11" s="13">
        <v>240400</v>
      </c>
      <c r="I11" s="13">
        <v>160000</v>
      </c>
      <c r="J11" s="10">
        <v>200000</v>
      </c>
    </row>
    <row r="12" spans="1:10" x14ac:dyDescent="0.25">
      <c r="D12" s="8">
        <v>100000</v>
      </c>
      <c r="E12" s="11" t="s">
        <v>26</v>
      </c>
      <c r="F12" s="12" t="s">
        <v>9</v>
      </c>
      <c r="G12" s="13" t="s">
        <v>10</v>
      </c>
      <c r="H12" s="13">
        <v>110000</v>
      </c>
      <c r="I12" s="13">
        <v>160000</v>
      </c>
      <c r="J12" s="10">
        <v>200000</v>
      </c>
    </row>
    <row r="13" spans="1:10" x14ac:dyDescent="0.25">
      <c r="D13" s="8">
        <v>80000</v>
      </c>
      <c r="E13" s="11" t="s">
        <v>27</v>
      </c>
      <c r="F13" s="12" t="s">
        <v>28</v>
      </c>
      <c r="G13" s="13" t="s">
        <v>10</v>
      </c>
      <c r="H13" s="13">
        <v>90000</v>
      </c>
      <c r="I13" s="13">
        <v>100000</v>
      </c>
      <c r="J13" s="10">
        <v>150000</v>
      </c>
    </row>
    <row r="14" spans="1:10" x14ac:dyDescent="0.25">
      <c r="D14" s="8">
        <v>150000</v>
      </c>
      <c r="E14" s="14" t="s">
        <v>29</v>
      </c>
      <c r="F14" s="12" t="s">
        <v>9</v>
      </c>
      <c r="G14" s="13" t="s">
        <v>14</v>
      </c>
      <c r="H14" s="13">
        <v>165400</v>
      </c>
      <c r="I14" s="13">
        <v>160000</v>
      </c>
      <c r="J14" s="10">
        <v>200000</v>
      </c>
    </row>
    <row r="15" spans="1:10" x14ac:dyDescent="0.25">
      <c r="D15" s="8">
        <v>40000</v>
      </c>
      <c r="E15" s="14" t="s">
        <v>30</v>
      </c>
      <c r="F15" s="12" t="s">
        <v>9</v>
      </c>
      <c r="G15" s="13" t="s">
        <v>14</v>
      </c>
      <c r="H15" s="15">
        <v>50000</v>
      </c>
      <c r="I15" s="13">
        <v>75000</v>
      </c>
      <c r="J15" s="10">
        <v>150000</v>
      </c>
    </row>
    <row r="16" spans="1:10" x14ac:dyDescent="0.25">
      <c r="D16" s="8">
        <v>70000</v>
      </c>
      <c r="E16" s="17" t="s">
        <v>31</v>
      </c>
      <c r="F16" s="12" t="s">
        <v>9</v>
      </c>
      <c r="G16" s="13" t="s">
        <v>10</v>
      </c>
      <c r="H16" s="13">
        <v>80000</v>
      </c>
      <c r="I16" s="13">
        <v>100000</v>
      </c>
      <c r="J16" s="10">
        <v>150000</v>
      </c>
    </row>
    <row r="17" spans="4:10" x14ac:dyDescent="0.25">
      <c r="D17" s="8">
        <v>60000</v>
      </c>
      <c r="E17" s="17" t="s">
        <v>32</v>
      </c>
      <c r="F17" s="12" t="s">
        <v>9</v>
      </c>
      <c r="G17" s="13" t="s">
        <v>10</v>
      </c>
      <c r="H17" s="13">
        <v>70000</v>
      </c>
      <c r="I17" s="13">
        <v>100000</v>
      </c>
      <c r="J17" s="10">
        <v>150000</v>
      </c>
    </row>
    <row r="18" spans="4:10" x14ac:dyDescent="0.25">
      <c r="D18" s="8"/>
      <c r="E18" s="17" t="s">
        <v>33</v>
      </c>
      <c r="F18" s="12" t="s">
        <v>9</v>
      </c>
      <c r="G18" s="13" t="s">
        <v>10</v>
      </c>
      <c r="H18" s="13">
        <v>74000</v>
      </c>
      <c r="I18" s="13">
        <v>75000</v>
      </c>
      <c r="J18" s="10">
        <v>150000</v>
      </c>
    </row>
    <row r="19" spans="4:10" x14ac:dyDescent="0.25">
      <c r="D19" s="8">
        <v>80000</v>
      </c>
      <c r="E19" s="17" t="s">
        <v>34</v>
      </c>
      <c r="F19" s="12" t="s">
        <v>7</v>
      </c>
      <c r="G19" s="13" t="s">
        <v>10</v>
      </c>
      <c r="H19" s="13">
        <v>90000</v>
      </c>
      <c r="I19" s="13">
        <v>90000</v>
      </c>
      <c r="J19" s="10">
        <v>150000</v>
      </c>
    </row>
    <row r="20" spans="4:10" x14ac:dyDescent="0.25">
      <c r="D20" s="8">
        <v>70000</v>
      </c>
      <c r="E20" s="14" t="s">
        <v>35</v>
      </c>
      <c r="F20" s="12" t="s">
        <v>7</v>
      </c>
      <c r="G20" s="13" t="s">
        <v>14</v>
      </c>
      <c r="H20" s="13">
        <v>92320</v>
      </c>
      <c r="I20" s="13">
        <v>90000</v>
      </c>
      <c r="J20" s="10">
        <v>150000</v>
      </c>
    </row>
    <row r="21" spans="4:10" x14ac:dyDescent="0.25">
      <c r="D21" s="8">
        <v>50000</v>
      </c>
      <c r="E21" s="11" t="s">
        <v>36</v>
      </c>
      <c r="F21" s="12" t="s">
        <v>37</v>
      </c>
      <c r="G21" s="13" t="s">
        <v>10</v>
      </c>
      <c r="H21" s="13">
        <v>60000</v>
      </c>
      <c r="I21" s="13">
        <v>80000</v>
      </c>
      <c r="J21" s="10">
        <v>100000</v>
      </c>
    </row>
    <row r="22" spans="4:10" x14ac:dyDescent="0.25">
      <c r="D22" s="18"/>
      <c r="E22" s="19" t="s">
        <v>38</v>
      </c>
      <c r="F22" s="12" t="s">
        <v>37</v>
      </c>
      <c r="G22" s="20" t="s">
        <v>10</v>
      </c>
      <c r="H22" s="18"/>
      <c r="I22" s="8"/>
      <c r="J22" s="21">
        <v>100000</v>
      </c>
    </row>
    <row r="23" spans="4:10" x14ac:dyDescent="0.25">
      <c r="D23" s="8">
        <v>40000</v>
      </c>
      <c r="E23" s="17" t="s">
        <v>39</v>
      </c>
      <c r="F23" s="12" t="s">
        <v>28</v>
      </c>
      <c r="G23" s="13" t="s">
        <v>10</v>
      </c>
      <c r="H23" s="13">
        <v>50000</v>
      </c>
      <c r="I23" s="13">
        <v>50000</v>
      </c>
      <c r="J23" s="10">
        <v>100000</v>
      </c>
    </row>
    <row r="24" spans="4:10" x14ac:dyDescent="0.25">
      <c r="D24" s="8">
        <v>40000</v>
      </c>
      <c r="E24" s="11" t="s">
        <v>40</v>
      </c>
      <c r="F24" s="12" t="s">
        <v>28</v>
      </c>
      <c r="G24" s="13" t="s">
        <v>10</v>
      </c>
      <c r="H24" s="13">
        <v>50000</v>
      </c>
      <c r="I24" s="13">
        <v>50000</v>
      </c>
      <c r="J24" s="10">
        <v>100000</v>
      </c>
    </row>
    <row r="25" spans="4:10" x14ac:dyDescent="0.25">
      <c r="D25" s="8">
        <v>30000</v>
      </c>
      <c r="E25" s="17" t="s">
        <v>41</v>
      </c>
      <c r="F25" s="12" t="s">
        <v>42</v>
      </c>
      <c r="G25" s="13" t="s">
        <v>10</v>
      </c>
      <c r="H25" s="13">
        <v>40000</v>
      </c>
      <c r="I25" s="13">
        <v>50000</v>
      </c>
      <c r="J25" s="10">
        <v>100000</v>
      </c>
    </row>
    <row r="26" spans="4:10" x14ac:dyDescent="0.25">
      <c r="D26" s="8">
        <v>40000</v>
      </c>
      <c r="E26" s="17" t="s">
        <v>43</v>
      </c>
      <c r="F26" s="12" t="s">
        <v>28</v>
      </c>
      <c r="G26" s="13" t="s">
        <v>10</v>
      </c>
      <c r="H26" s="13">
        <v>50000</v>
      </c>
      <c r="I26" s="13">
        <v>50000</v>
      </c>
      <c r="J26" s="10">
        <v>100000</v>
      </c>
    </row>
    <row r="27" spans="4:10" x14ac:dyDescent="0.25">
      <c r="D27" s="8">
        <v>40000</v>
      </c>
      <c r="E27" s="17" t="s">
        <v>44</v>
      </c>
      <c r="F27" s="12" t="s">
        <v>9</v>
      </c>
      <c r="G27" s="13" t="s">
        <v>10</v>
      </c>
      <c r="H27" s="13">
        <v>50000</v>
      </c>
      <c r="I27" s="13">
        <v>50000</v>
      </c>
      <c r="J27" s="10">
        <v>100000</v>
      </c>
    </row>
    <row r="28" spans="4:10" x14ac:dyDescent="0.25">
      <c r="D28" s="8">
        <v>50000</v>
      </c>
      <c r="E28" s="17" t="s">
        <v>45</v>
      </c>
      <c r="F28" s="12" t="s">
        <v>28</v>
      </c>
      <c r="G28" s="13" t="s">
        <v>10</v>
      </c>
      <c r="H28" s="13">
        <v>60000</v>
      </c>
      <c r="I28" s="13">
        <v>60000</v>
      </c>
      <c r="J28" s="10">
        <v>100000</v>
      </c>
    </row>
    <row r="29" spans="4:10" x14ac:dyDescent="0.25">
      <c r="D29" s="8">
        <v>30000</v>
      </c>
      <c r="E29" s="17" t="s">
        <v>46</v>
      </c>
      <c r="F29" s="12" t="s">
        <v>47</v>
      </c>
      <c r="G29" s="13" t="s">
        <v>10</v>
      </c>
      <c r="H29" s="13">
        <v>30000</v>
      </c>
      <c r="I29" s="13">
        <v>50000</v>
      </c>
      <c r="J29" s="10">
        <v>100000</v>
      </c>
    </row>
    <row r="30" spans="4:10" x14ac:dyDescent="0.25">
      <c r="D30" s="8">
        <v>40000</v>
      </c>
      <c r="E30" s="11" t="s">
        <v>48</v>
      </c>
      <c r="F30" s="12" t="s">
        <v>22</v>
      </c>
      <c r="G30" s="13" t="s">
        <v>10</v>
      </c>
      <c r="H30" s="15">
        <v>50000</v>
      </c>
      <c r="I30" s="13">
        <v>60000</v>
      </c>
      <c r="J30" s="10">
        <v>100000</v>
      </c>
    </row>
    <row r="31" spans="4:10" x14ac:dyDescent="0.25">
      <c r="D31" s="8">
        <v>35000</v>
      </c>
      <c r="E31" s="17" t="s">
        <v>49</v>
      </c>
      <c r="F31" s="12" t="s">
        <v>50</v>
      </c>
      <c r="G31" s="13" t="s">
        <v>10</v>
      </c>
      <c r="H31" s="16">
        <v>50000</v>
      </c>
      <c r="I31" s="13">
        <v>50000</v>
      </c>
      <c r="J31" s="10">
        <v>100000</v>
      </c>
    </row>
    <row r="32" spans="4:10" x14ac:dyDescent="0.25">
      <c r="D32" s="8"/>
      <c r="E32" s="17" t="s">
        <v>51</v>
      </c>
      <c r="F32" s="12" t="s">
        <v>22</v>
      </c>
      <c r="G32" s="13" t="s">
        <v>10</v>
      </c>
      <c r="H32" s="13">
        <v>50000</v>
      </c>
      <c r="I32" s="13">
        <v>90000</v>
      </c>
      <c r="J32" s="10">
        <v>150000</v>
      </c>
    </row>
    <row r="33" spans="4:10" x14ac:dyDescent="0.25">
      <c r="D33" s="8">
        <v>30000</v>
      </c>
      <c r="E33" s="11" t="s">
        <v>52</v>
      </c>
      <c r="F33" s="12" t="s">
        <v>28</v>
      </c>
      <c r="G33" s="13" t="s">
        <v>10</v>
      </c>
      <c r="H33" s="13">
        <v>40000</v>
      </c>
      <c r="I33" s="13">
        <v>50000</v>
      </c>
      <c r="J33" s="10">
        <v>75000</v>
      </c>
    </row>
    <row r="34" spans="4:10" x14ac:dyDescent="0.25">
      <c r="D34" s="8">
        <v>35000</v>
      </c>
      <c r="E34" s="17" t="s">
        <v>53</v>
      </c>
      <c r="F34" s="12" t="s">
        <v>54</v>
      </c>
      <c r="G34" s="13" t="s">
        <v>10</v>
      </c>
      <c r="H34" s="13">
        <v>45000</v>
      </c>
      <c r="I34" s="13">
        <v>50000</v>
      </c>
      <c r="J34" s="10">
        <v>75000</v>
      </c>
    </row>
    <row r="35" spans="4:10" x14ac:dyDescent="0.25">
      <c r="D35" s="8">
        <v>35000</v>
      </c>
      <c r="E35" s="11" t="s">
        <v>55</v>
      </c>
      <c r="F35" s="12" t="s">
        <v>54</v>
      </c>
      <c r="G35" s="13" t="s">
        <v>10</v>
      </c>
      <c r="H35" s="16">
        <v>45000</v>
      </c>
      <c r="I35" s="13">
        <v>50000</v>
      </c>
      <c r="J35" s="10">
        <v>75000</v>
      </c>
    </row>
    <row r="36" spans="4:10" x14ac:dyDescent="0.25">
      <c r="D36" s="8">
        <v>40000</v>
      </c>
      <c r="E36" s="11" t="s">
        <v>56</v>
      </c>
      <c r="F36" s="12" t="s">
        <v>28</v>
      </c>
      <c r="G36" s="13" t="s">
        <v>10</v>
      </c>
      <c r="H36" s="13">
        <v>50000</v>
      </c>
      <c r="I36" s="13">
        <v>50000</v>
      </c>
      <c r="J36" s="10">
        <v>75000</v>
      </c>
    </row>
    <row r="37" spans="4:10" x14ac:dyDescent="0.25">
      <c r="D37" s="8">
        <v>40000</v>
      </c>
      <c r="E37" s="17" t="s">
        <v>57</v>
      </c>
      <c r="F37" s="12" t="s">
        <v>54</v>
      </c>
      <c r="G37" s="13" t="s">
        <v>10</v>
      </c>
      <c r="H37" s="13">
        <v>50000</v>
      </c>
      <c r="I37" s="13">
        <v>50000</v>
      </c>
      <c r="J37" s="10">
        <v>75000</v>
      </c>
    </row>
    <row r="38" spans="4:10" x14ac:dyDescent="0.25">
      <c r="D38" s="8">
        <v>30000</v>
      </c>
      <c r="E38" s="17" t="s">
        <v>58</v>
      </c>
      <c r="F38" s="12" t="s">
        <v>59</v>
      </c>
      <c r="G38" s="13" t="s">
        <v>14</v>
      </c>
      <c r="H38" s="13">
        <v>40000</v>
      </c>
      <c r="I38" s="13">
        <v>50000</v>
      </c>
      <c r="J38" s="10">
        <v>75000</v>
      </c>
    </row>
    <row r="39" spans="4:10" x14ac:dyDescent="0.25">
      <c r="D39" s="8">
        <v>40000</v>
      </c>
      <c r="E39" s="17" t="s">
        <v>60</v>
      </c>
      <c r="F39" s="12" t="s">
        <v>54</v>
      </c>
      <c r="G39" s="13" t="s">
        <v>10</v>
      </c>
      <c r="H39" s="13">
        <v>50000</v>
      </c>
      <c r="I39" s="13">
        <v>50000</v>
      </c>
      <c r="J39" s="10">
        <v>75000</v>
      </c>
    </row>
    <row r="40" spans="4:10" x14ac:dyDescent="0.25">
      <c r="D40" s="8">
        <v>40000</v>
      </c>
      <c r="E40" s="17" t="s">
        <v>61</v>
      </c>
      <c r="F40" s="12" t="s">
        <v>62</v>
      </c>
      <c r="G40" s="13" t="s">
        <v>10</v>
      </c>
      <c r="H40" s="13">
        <v>50000</v>
      </c>
      <c r="I40" s="13">
        <v>50000</v>
      </c>
      <c r="J40" s="10">
        <v>75000</v>
      </c>
    </row>
    <row r="41" spans="4:10" x14ac:dyDescent="0.25">
      <c r="D41" s="8">
        <v>50000</v>
      </c>
      <c r="E41" s="11" t="s">
        <v>63</v>
      </c>
      <c r="F41" s="12" t="s">
        <v>28</v>
      </c>
      <c r="G41" s="13" t="s">
        <v>10</v>
      </c>
      <c r="H41" s="13">
        <v>60000</v>
      </c>
      <c r="I41" s="13">
        <v>75000</v>
      </c>
      <c r="J41" s="10">
        <v>75000</v>
      </c>
    </row>
    <row r="42" spans="4:10" x14ac:dyDescent="0.25">
      <c r="D42" s="8">
        <v>20000</v>
      </c>
      <c r="E42" s="11" t="s">
        <v>64</v>
      </c>
      <c r="F42" s="12" t="s">
        <v>28</v>
      </c>
      <c r="G42" s="13" t="s">
        <v>10</v>
      </c>
      <c r="H42" s="13">
        <v>30000</v>
      </c>
      <c r="I42" s="13">
        <v>30000</v>
      </c>
      <c r="J42" s="10">
        <v>50000</v>
      </c>
    </row>
    <row r="43" spans="4:10" x14ac:dyDescent="0.25">
      <c r="D43" s="8">
        <v>50000</v>
      </c>
      <c r="E43" s="11" t="s">
        <v>65</v>
      </c>
      <c r="F43" s="12" t="s">
        <v>54</v>
      </c>
      <c r="G43" s="13" t="s">
        <v>10</v>
      </c>
      <c r="H43" s="13">
        <v>50000</v>
      </c>
      <c r="I43" s="13">
        <v>50000</v>
      </c>
      <c r="J43" s="10">
        <v>50000</v>
      </c>
    </row>
    <row r="44" spans="4:10" x14ac:dyDescent="0.25">
      <c r="D44" s="8">
        <v>15000</v>
      </c>
      <c r="E44" s="17" t="s">
        <v>66</v>
      </c>
      <c r="F44" s="12" t="s">
        <v>54</v>
      </c>
      <c r="G44" s="13" t="s">
        <v>10</v>
      </c>
      <c r="H44" s="13">
        <v>25000</v>
      </c>
      <c r="I44" s="13">
        <v>30000</v>
      </c>
      <c r="J44" s="10">
        <v>50000</v>
      </c>
    </row>
    <row r="45" spans="4:10" x14ac:dyDescent="0.25">
      <c r="D45" s="8">
        <v>20000</v>
      </c>
      <c r="E45" s="11" t="s">
        <v>67</v>
      </c>
      <c r="F45" s="12" t="s">
        <v>68</v>
      </c>
      <c r="G45" s="13" t="s">
        <v>10</v>
      </c>
      <c r="H45" s="15">
        <v>30000</v>
      </c>
      <c r="I45" s="13">
        <v>30000</v>
      </c>
      <c r="J45" s="10">
        <v>30000</v>
      </c>
    </row>
    <row r="46" spans="4:10" x14ac:dyDescent="0.25">
      <c r="D46" s="8">
        <v>20000</v>
      </c>
      <c r="E46" s="11" t="s">
        <v>69</v>
      </c>
      <c r="F46" s="12" t="s">
        <v>68</v>
      </c>
      <c r="G46" s="13" t="s">
        <v>10</v>
      </c>
      <c r="H46" s="15">
        <v>30000</v>
      </c>
      <c r="I46" s="13">
        <v>30000</v>
      </c>
      <c r="J46" s="10">
        <v>30000</v>
      </c>
    </row>
    <row r="47" spans="4:10" x14ac:dyDescent="0.25">
      <c r="D47" s="8">
        <v>8000</v>
      </c>
      <c r="E47" s="11" t="s">
        <v>70</v>
      </c>
      <c r="F47" s="12" t="s">
        <v>28</v>
      </c>
      <c r="G47" s="13" t="s">
        <v>10</v>
      </c>
      <c r="H47" s="13">
        <v>18000</v>
      </c>
      <c r="I47" s="13">
        <v>20000</v>
      </c>
      <c r="J47" s="10">
        <v>30000</v>
      </c>
    </row>
    <row r="48" spans="4:10" x14ac:dyDescent="0.25">
      <c r="D48" s="8">
        <v>20000</v>
      </c>
      <c r="E48" s="11" t="s">
        <v>71</v>
      </c>
      <c r="F48" s="12" t="s">
        <v>68</v>
      </c>
      <c r="G48" s="13" t="s">
        <v>10</v>
      </c>
      <c r="H48" s="15">
        <v>30000</v>
      </c>
      <c r="I48" s="13">
        <v>30000</v>
      </c>
      <c r="J48" s="10">
        <v>30000</v>
      </c>
    </row>
    <row r="49" spans="4:10" x14ac:dyDescent="0.25">
      <c r="D49" s="8">
        <v>95000</v>
      </c>
      <c r="E49" s="17" t="s">
        <v>72</v>
      </c>
      <c r="F49" s="12" t="s">
        <v>73</v>
      </c>
      <c r="G49" s="13" t="s">
        <v>10</v>
      </c>
      <c r="H49" s="13"/>
      <c r="I49" s="13"/>
      <c r="J49" s="10"/>
    </row>
    <row r="50" spans="4:10" x14ac:dyDescent="0.25">
      <c r="D50" s="8"/>
      <c r="E50" s="14" t="s">
        <v>74</v>
      </c>
      <c r="F50" s="18" t="s">
        <v>75</v>
      </c>
      <c r="G50" s="13" t="s">
        <v>14</v>
      </c>
      <c r="H50" s="3">
        <v>100000</v>
      </c>
      <c r="I50" s="3">
        <v>100000</v>
      </c>
      <c r="J50" s="22"/>
    </row>
    <row r="51" spans="4:10" x14ac:dyDescent="0.25">
      <c r="D51" s="8"/>
      <c r="E51" s="17" t="s">
        <v>76</v>
      </c>
      <c r="F51" s="18" t="s">
        <v>77</v>
      </c>
      <c r="G51" s="13" t="s">
        <v>10</v>
      </c>
      <c r="H51" s="3">
        <v>131400</v>
      </c>
      <c r="I51" s="3"/>
      <c r="J51" s="22"/>
    </row>
    <row r="52" spans="4:10" x14ac:dyDescent="0.25">
      <c r="D52" s="8"/>
      <c r="E52" s="17" t="s">
        <v>78</v>
      </c>
      <c r="F52" s="18" t="s">
        <v>79</v>
      </c>
      <c r="G52" s="13" t="s">
        <v>10</v>
      </c>
      <c r="H52" s="3">
        <v>79700</v>
      </c>
      <c r="I52" s="3"/>
      <c r="J52" s="22"/>
    </row>
    <row r="53" spans="4:10" x14ac:dyDescent="0.25">
      <c r="D53" s="8"/>
      <c r="E53" s="17" t="s">
        <v>80</v>
      </c>
      <c r="F53" s="18" t="s">
        <v>81</v>
      </c>
      <c r="G53" s="13" t="s">
        <v>10</v>
      </c>
      <c r="H53" s="3">
        <v>60000</v>
      </c>
      <c r="I53" s="3"/>
      <c r="J53" s="22"/>
    </row>
    <row r="54" spans="4:10" x14ac:dyDescent="0.25">
      <c r="D54" s="8">
        <v>50000</v>
      </c>
      <c r="E54" s="17" t="s">
        <v>82</v>
      </c>
      <c r="F54" s="18" t="s">
        <v>83</v>
      </c>
      <c r="G54" s="13" t="s">
        <v>10</v>
      </c>
      <c r="H54" s="3"/>
      <c r="I54" s="3"/>
      <c r="J54" s="22"/>
    </row>
    <row r="55" spans="4:10" x14ac:dyDescent="0.25">
      <c r="I55" s="23" t="s">
        <v>84</v>
      </c>
      <c r="J55" s="24">
        <f>SUM(J3:J48)</f>
        <v>5445000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3841-1AAC-4ADD-BC4A-7AA614E932B1}">
  <dimension ref="A1:AS92"/>
  <sheetViews>
    <sheetView workbookViewId="0">
      <selection sqref="A1:XFD1048576"/>
    </sheetView>
  </sheetViews>
  <sheetFormatPr baseColWidth="10" defaultColWidth="11.42578125" defaultRowHeight="15" x14ac:dyDescent="0.25"/>
  <cols>
    <col min="1" max="1" width="3.85546875" style="1" bestFit="1" customWidth="1"/>
    <col min="2" max="2" width="20.28515625" style="1" bestFit="1" customWidth="1"/>
    <col min="3" max="3" width="37.42578125" style="1" bestFit="1" customWidth="1"/>
    <col min="4" max="6" width="3.42578125" style="1" hidden="1" customWidth="1"/>
    <col min="7" max="7" width="3.42578125" style="269" hidden="1" customWidth="1"/>
    <col min="8" max="9" width="3.42578125" style="1" hidden="1" customWidth="1"/>
    <col min="10" max="18" width="3.42578125" hidden="1" customWidth="1"/>
    <col min="19" max="19" width="3.42578125" style="189" hidden="1" customWidth="1"/>
    <col min="20" max="20" width="3.42578125" style="262" hidden="1" customWidth="1"/>
    <col min="21" max="21" width="3.42578125" style="260" hidden="1" customWidth="1"/>
    <col min="22" max="22" width="3.42578125" hidden="1" customWidth="1"/>
    <col min="23" max="24" width="3.42578125" style="189" hidden="1" customWidth="1"/>
    <col min="25" max="25" width="3.42578125" style="260" hidden="1" customWidth="1"/>
    <col min="26" max="29" width="3.42578125" hidden="1" customWidth="1"/>
    <col min="30" max="30" width="12.140625" hidden="1" customWidth="1"/>
    <col min="31" max="31" width="2.7109375" style="262" hidden="1" customWidth="1"/>
    <col min="32" max="32" width="12.140625" style="265" hidden="1" customWidth="1"/>
    <col min="33" max="33" width="3.140625" style="262" hidden="1" customWidth="1"/>
    <col min="34" max="34" width="3.140625" hidden="1" customWidth="1"/>
    <col min="35" max="35" width="16.7109375" style="262" hidden="1" customWidth="1"/>
    <col min="36" max="36" width="13.85546875" style="262" hidden="1" customWidth="1"/>
    <col min="37" max="37" width="15.28515625" style="262" hidden="1" customWidth="1"/>
    <col min="38" max="38" width="5.28515625" style="262" hidden="1" customWidth="1"/>
    <col min="39" max="39" width="15.28515625" bestFit="1" customWidth="1"/>
    <col min="40" max="40" width="4.140625" style="262" customWidth="1"/>
    <col min="41" max="41" width="16.140625" style="262" bestFit="1" customWidth="1"/>
    <col min="42" max="42" width="16.140625" style="262" customWidth="1"/>
    <col min="43" max="43" width="11.85546875" bestFit="1" customWidth="1"/>
    <col min="44" max="44" width="11" bestFit="1" customWidth="1"/>
    <col min="45" max="45" width="16.85546875" bestFit="1" customWidth="1"/>
  </cols>
  <sheetData>
    <row r="1" spans="1:45" x14ac:dyDescent="0.25">
      <c r="A1" s="25"/>
      <c r="B1" s="26"/>
      <c r="C1" s="26"/>
      <c r="D1" s="26" t="s">
        <v>85</v>
      </c>
      <c r="E1" s="26"/>
      <c r="F1" s="27" t="s">
        <v>86</v>
      </c>
      <c r="G1" s="28">
        <v>2024</v>
      </c>
      <c r="H1" s="29" t="s">
        <v>1</v>
      </c>
      <c r="I1" s="13" t="s">
        <v>87</v>
      </c>
      <c r="J1" s="13" t="s">
        <v>88</v>
      </c>
      <c r="K1" s="13" t="s">
        <v>89</v>
      </c>
      <c r="L1" s="13" t="s">
        <v>90</v>
      </c>
      <c r="M1" s="13" t="s">
        <v>91</v>
      </c>
      <c r="N1" s="30" t="s">
        <v>92</v>
      </c>
      <c r="O1" s="13" t="s">
        <v>93</v>
      </c>
      <c r="P1" s="13" t="s">
        <v>94</v>
      </c>
      <c r="Q1" s="13" t="s">
        <v>95</v>
      </c>
      <c r="R1" s="13" t="s">
        <v>96</v>
      </c>
      <c r="S1" s="15" t="s">
        <v>97</v>
      </c>
      <c r="T1" s="15" t="s">
        <v>86</v>
      </c>
      <c r="U1" s="31" t="s">
        <v>92</v>
      </c>
      <c r="V1" s="32">
        <v>2025</v>
      </c>
      <c r="W1" s="33" t="s">
        <v>1</v>
      </c>
      <c r="X1" s="15" t="s">
        <v>87</v>
      </c>
      <c r="Y1" s="13" t="s">
        <v>98</v>
      </c>
      <c r="Z1" s="13" t="s">
        <v>88</v>
      </c>
      <c r="AA1" s="13" t="s">
        <v>99</v>
      </c>
      <c r="AB1" s="13" t="s">
        <v>89</v>
      </c>
      <c r="AC1" s="13" t="s">
        <v>99</v>
      </c>
      <c r="AD1" s="13" t="s">
        <v>90</v>
      </c>
      <c r="AE1" s="16" t="s">
        <v>99</v>
      </c>
      <c r="AF1" s="15" t="s">
        <v>91</v>
      </c>
      <c r="AG1" s="15" t="s">
        <v>99</v>
      </c>
      <c r="AH1" s="20" t="s">
        <v>92</v>
      </c>
      <c r="AI1" s="13" t="s">
        <v>93</v>
      </c>
      <c r="AJ1" s="13" t="s">
        <v>99</v>
      </c>
      <c r="AK1" s="10" t="s">
        <v>94</v>
      </c>
      <c r="AL1" s="10" t="s">
        <v>99</v>
      </c>
      <c r="AM1" s="13" t="s">
        <v>95</v>
      </c>
      <c r="AN1" s="10" t="s">
        <v>99</v>
      </c>
      <c r="AO1" s="13" t="s">
        <v>96</v>
      </c>
      <c r="AP1" s="13"/>
      <c r="AQ1" s="15" t="s">
        <v>97</v>
      </c>
      <c r="AR1" s="13" t="s">
        <v>86</v>
      </c>
      <c r="AS1" s="20" t="s">
        <v>92</v>
      </c>
    </row>
    <row r="2" spans="1:45" x14ac:dyDescent="0.25">
      <c r="A2" s="34">
        <v>1</v>
      </c>
      <c r="B2" s="27">
        <v>85000</v>
      </c>
      <c r="C2" s="35" t="s">
        <v>100</v>
      </c>
      <c r="D2" s="29" t="s">
        <v>101</v>
      </c>
      <c r="E2" s="13"/>
      <c r="F2" s="27"/>
      <c r="G2" s="36"/>
      <c r="H2" s="29"/>
      <c r="I2" s="13"/>
      <c r="J2" s="13"/>
      <c r="K2" s="13"/>
      <c r="L2" s="13"/>
      <c r="M2" s="13"/>
      <c r="N2" s="10">
        <v>40000</v>
      </c>
      <c r="O2" s="13">
        <v>75000</v>
      </c>
      <c r="P2" s="13">
        <v>85000</v>
      </c>
      <c r="Q2" s="15">
        <v>85000</v>
      </c>
      <c r="R2" s="15">
        <v>85000</v>
      </c>
      <c r="S2" s="15">
        <v>85000</v>
      </c>
      <c r="T2" s="15">
        <v>85000</v>
      </c>
      <c r="U2" s="37">
        <v>42500</v>
      </c>
      <c r="V2" s="38"/>
      <c r="W2" s="39"/>
      <c r="X2" s="40">
        <v>250000</v>
      </c>
      <c r="Y2" s="22"/>
      <c r="Z2" s="40">
        <v>130000</v>
      </c>
      <c r="AA2" s="22"/>
      <c r="AB2" s="40">
        <v>130000</v>
      </c>
      <c r="AC2" s="8"/>
      <c r="AD2" s="41">
        <v>150000</v>
      </c>
      <c r="AE2" s="41"/>
      <c r="AF2" s="40">
        <v>200000</v>
      </c>
      <c r="AG2" s="40"/>
      <c r="AH2" s="40">
        <v>100000</v>
      </c>
      <c r="AI2" s="40">
        <v>220000</v>
      </c>
      <c r="AJ2" s="40"/>
      <c r="AK2" s="40">
        <v>220000</v>
      </c>
      <c r="AL2" s="40"/>
      <c r="AM2" s="42">
        <v>220000</v>
      </c>
      <c r="AN2" s="40"/>
      <c r="AO2" s="40">
        <v>220000</v>
      </c>
      <c r="AP2" s="40"/>
      <c r="AQ2" s="40"/>
      <c r="AR2" s="40"/>
      <c r="AS2" s="40"/>
    </row>
    <row r="3" spans="1:45" x14ac:dyDescent="0.25">
      <c r="A3" s="34">
        <v>2</v>
      </c>
      <c r="B3" s="43">
        <v>160000</v>
      </c>
      <c r="C3" s="44" t="s">
        <v>102</v>
      </c>
      <c r="D3" s="29"/>
      <c r="E3" s="13" t="s">
        <v>10</v>
      </c>
      <c r="F3" s="45"/>
      <c r="G3" s="46"/>
      <c r="H3" s="47"/>
      <c r="I3" s="48"/>
      <c r="J3" s="48"/>
      <c r="K3" s="48"/>
      <c r="L3" s="48"/>
      <c r="M3" s="48"/>
      <c r="N3" s="48"/>
      <c r="O3" s="48"/>
      <c r="P3" s="8">
        <v>50000</v>
      </c>
      <c r="Q3" s="15">
        <v>60000</v>
      </c>
      <c r="R3" s="15">
        <v>60000</v>
      </c>
      <c r="S3" s="15">
        <v>60000</v>
      </c>
      <c r="T3" s="15">
        <v>60000</v>
      </c>
      <c r="U3" s="49">
        <v>30000</v>
      </c>
      <c r="V3" s="50"/>
      <c r="W3" s="39">
        <v>60000</v>
      </c>
      <c r="X3" s="40">
        <v>160000</v>
      </c>
      <c r="Y3" s="22"/>
      <c r="Z3" s="40">
        <v>160000</v>
      </c>
      <c r="AA3" s="22">
        <v>10000</v>
      </c>
      <c r="AB3" s="51">
        <v>180000</v>
      </c>
      <c r="AC3" s="22"/>
      <c r="AD3" s="41">
        <v>190000</v>
      </c>
      <c r="AE3" s="41">
        <v>10000</v>
      </c>
      <c r="AF3" s="40">
        <v>200000</v>
      </c>
      <c r="AG3" s="40"/>
      <c r="AH3" s="40">
        <v>100000</v>
      </c>
      <c r="AI3" s="40">
        <v>220000</v>
      </c>
      <c r="AJ3" s="40"/>
      <c r="AK3" s="40">
        <v>220000</v>
      </c>
      <c r="AL3" s="40"/>
      <c r="AM3" s="52">
        <v>220000</v>
      </c>
      <c r="AN3" s="40"/>
      <c r="AO3" s="40">
        <v>220000</v>
      </c>
      <c r="AP3" s="22">
        <v>12250</v>
      </c>
      <c r="AQ3" s="40"/>
      <c r="AR3" s="40"/>
      <c r="AS3" s="40"/>
    </row>
    <row r="4" spans="1:45" x14ac:dyDescent="0.25">
      <c r="A4" s="34"/>
      <c r="B4" s="27">
        <v>55000</v>
      </c>
      <c r="C4" s="53" t="s">
        <v>103</v>
      </c>
      <c r="D4" s="29" t="s">
        <v>104</v>
      </c>
      <c r="E4" s="13" t="s">
        <v>10</v>
      </c>
      <c r="F4" s="54"/>
      <c r="G4" s="36"/>
      <c r="H4" s="55"/>
      <c r="I4" s="20"/>
      <c r="J4" s="56">
        <v>45000</v>
      </c>
      <c r="K4" s="15">
        <v>55000</v>
      </c>
      <c r="L4" s="13">
        <v>45000</v>
      </c>
      <c r="M4" s="13">
        <v>45000</v>
      </c>
      <c r="N4" s="10">
        <v>30000</v>
      </c>
      <c r="O4" s="8">
        <v>80000</v>
      </c>
      <c r="P4" s="13">
        <v>55000</v>
      </c>
      <c r="Q4" s="40">
        <v>55000</v>
      </c>
      <c r="R4" s="40">
        <v>55000</v>
      </c>
      <c r="S4" s="40">
        <v>55000</v>
      </c>
      <c r="T4" s="40">
        <v>55000</v>
      </c>
      <c r="U4" s="49">
        <v>27500</v>
      </c>
      <c r="V4" s="57"/>
      <c r="W4" s="33">
        <v>55000</v>
      </c>
      <c r="X4" s="15">
        <v>55000</v>
      </c>
      <c r="Y4" s="10"/>
      <c r="Z4" s="15">
        <v>55000</v>
      </c>
      <c r="AA4" s="10"/>
      <c r="AB4" s="15">
        <v>75000</v>
      </c>
      <c r="AC4" s="10"/>
      <c r="AD4" s="418" t="s">
        <v>105</v>
      </c>
      <c r="AE4" s="419"/>
      <c r="AF4" s="419"/>
      <c r="AG4" s="419"/>
      <c r="AH4" s="419"/>
      <c r="AI4" s="419"/>
      <c r="AJ4" s="419"/>
      <c r="AK4" s="419"/>
      <c r="AL4" s="419"/>
      <c r="AM4" s="419"/>
      <c r="AN4" s="419"/>
      <c r="AO4" s="419"/>
      <c r="AP4" s="419"/>
      <c r="AQ4" s="419"/>
      <c r="AR4" s="419"/>
      <c r="AS4" s="420"/>
    </row>
    <row r="5" spans="1:45" x14ac:dyDescent="0.25">
      <c r="A5" s="34"/>
      <c r="B5" s="27">
        <v>220000</v>
      </c>
      <c r="C5" s="44" t="s">
        <v>106</v>
      </c>
      <c r="D5" s="29"/>
      <c r="E5" s="13" t="s">
        <v>10</v>
      </c>
      <c r="F5" s="27"/>
      <c r="G5" s="36"/>
      <c r="H5" s="29"/>
      <c r="I5" s="13"/>
      <c r="J5" s="13">
        <v>50000</v>
      </c>
      <c r="K5" s="15">
        <v>62500</v>
      </c>
      <c r="L5" s="13">
        <v>55000</v>
      </c>
      <c r="M5" s="58"/>
      <c r="N5" s="58"/>
      <c r="O5" s="58"/>
      <c r="P5" s="59"/>
      <c r="Q5" s="59"/>
      <c r="R5" s="59"/>
      <c r="S5" s="59"/>
      <c r="T5" s="60"/>
      <c r="U5" s="61"/>
      <c r="V5" s="57"/>
      <c r="W5" s="62"/>
      <c r="X5" s="59"/>
      <c r="Y5" s="60"/>
      <c r="Z5" s="60"/>
      <c r="AA5" s="60"/>
      <c r="AB5" s="60"/>
      <c r="AC5" s="60"/>
      <c r="AD5" s="59"/>
      <c r="AE5" s="59"/>
      <c r="AF5" s="59"/>
      <c r="AG5" s="59"/>
      <c r="AH5" s="59"/>
      <c r="AI5" s="63">
        <v>140000</v>
      </c>
      <c r="AJ5" s="63"/>
      <c r="AK5" s="64">
        <v>140000</v>
      </c>
      <c r="AL5" s="64"/>
      <c r="AM5" s="64">
        <v>140000</v>
      </c>
      <c r="AN5" s="64"/>
      <c r="AO5" s="27">
        <v>220000</v>
      </c>
      <c r="AP5" s="27"/>
      <c r="AQ5" s="64"/>
      <c r="AR5" s="64"/>
      <c r="AS5" s="64"/>
    </row>
    <row r="6" spans="1:45" x14ac:dyDescent="0.25">
      <c r="A6" s="34">
        <v>3</v>
      </c>
      <c r="B6" s="27">
        <v>20000</v>
      </c>
      <c r="C6" s="65" t="s">
        <v>107</v>
      </c>
      <c r="D6" s="66"/>
      <c r="E6" s="13" t="s">
        <v>10</v>
      </c>
      <c r="F6" s="27"/>
      <c r="G6" s="36"/>
      <c r="H6" s="33">
        <v>30000</v>
      </c>
      <c r="I6" s="15">
        <v>30000</v>
      </c>
      <c r="J6" s="15">
        <v>30000</v>
      </c>
      <c r="K6" s="15">
        <v>30000</v>
      </c>
      <c r="L6" s="15">
        <v>30000</v>
      </c>
      <c r="M6" s="15">
        <v>30000</v>
      </c>
      <c r="N6" s="10">
        <v>150000</v>
      </c>
      <c r="O6" s="13">
        <v>30000</v>
      </c>
      <c r="P6" s="63">
        <v>40000</v>
      </c>
      <c r="Q6" s="15">
        <v>40000</v>
      </c>
      <c r="R6" s="15">
        <v>40000</v>
      </c>
      <c r="S6" s="15">
        <v>40000</v>
      </c>
      <c r="T6" s="67">
        <v>40000</v>
      </c>
      <c r="U6" s="37">
        <v>20000</v>
      </c>
      <c r="V6" s="57"/>
      <c r="W6" s="33">
        <v>40000</v>
      </c>
      <c r="X6" s="15">
        <v>50000</v>
      </c>
      <c r="Y6" s="10"/>
      <c r="Z6" s="68">
        <v>50000</v>
      </c>
      <c r="AA6" s="10"/>
      <c r="AB6" s="69">
        <v>60000</v>
      </c>
      <c r="AC6" s="10"/>
      <c r="AD6" s="70">
        <v>80000</v>
      </c>
      <c r="AE6" s="70"/>
      <c r="AF6" s="15">
        <v>90000</v>
      </c>
      <c r="AG6" s="15"/>
      <c r="AH6" s="15">
        <v>45000</v>
      </c>
      <c r="AI6" s="15">
        <v>100000</v>
      </c>
      <c r="AJ6" s="15"/>
      <c r="AK6" s="40">
        <v>100000</v>
      </c>
      <c r="AL6" s="40"/>
      <c r="AM6" s="40">
        <v>100000</v>
      </c>
      <c r="AN6" s="40"/>
      <c r="AO6" s="71">
        <v>100000</v>
      </c>
      <c r="AP6" s="71"/>
      <c r="AQ6" s="40"/>
      <c r="AR6" s="40"/>
      <c r="AS6" s="40"/>
    </row>
    <row r="7" spans="1:45" s="85" customFormat="1" x14ac:dyDescent="0.25">
      <c r="A7" s="34"/>
      <c r="B7" s="72">
        <v>160000</v>
      </c>
      <c r="C7" s="53" t="s">
        <v>108</v>
      </c>
      <c r="D7" s="73"/>
      <c r="E7" s="74"/>
      <c r="F7" s="72"/>
      <c r="G7" s="75"/>
      <c r="H7" s="73"/>
      <c r="I7" s="74"/>
      <c r="J7" s="76"/>
      <c r="K7" s="76"/>
      <c r="L7" s="76"/>
      <c r="M7" s="76"/>
      <c r="N7" s="76"/>
      <c r="O7" s="76"/>
      <c r="P7" s="76"/>
      <c r="Q7" s="76"/>
      <c r="R7" s="76"/>
      <c r="S7" s="77">
        <v>83750</v>
      </c>
      <c r="T7" s="77">
        <v>175000</v>
      </c>
      <c r="U7" s="78">
        <v>75000</v>
      </c>
      <c r="V7" s="79"/>
      <c r="W7" s="80">
        <v>168550</v>
      </c>
      <c r="X7" s="77">
        <v>140000</v>
      </c>
      <c r="Y7" s="81"/>
      <c r="Z7" s="82"/>
      <c r="AA7" s="77"/>
      <c r="AB7" s="74"/>
      <c r="AC7" s="74"/>
      <c r="AD7" s="77"/>
      <c r="AE7" s="77"/>
      <c r="AF7" s="77"/>
      <c r="AG7" s="77"/>
      <c r="AH7" s="77"/>
      <c r="AI7" s="77"/>
      <c r="AJ7" s="77"/>
      <c r="AK7" s="83"/>
      <c r="AL7" s="83"/>
      <c r="AM7" s="84"/>
      <c r="AN7" s="84"/>
      <c r="AO7" s="84"/>
      <c r="AP7" s="84"/>
      <c r="AQ7" s="84"/>
      <c r="AR7" s="84"/>
      <c r="AS7" s="84"/>
    </row>
    <row r="8" spans="1:45" x14ac:dyDescent="0.25">
      <c r="A8" s="34">
        <v>4</v>
      </c>
      <c r="B8" s="27">
        <v>310000</v>
      </c>
      <c r="C8" s="44" t="s">
        <v>109</v>
      </c>
      <c r="D8" s="66"/>
      <c r="E8" s="13" t="s">
        <v>10</v>
      </c>
      <c r="F8" s="27"/>
      <c r="G8" s="36"/>
      <c r="H8" s="29">
        <v>90000</v>
      </c>
      <c r="I8" s="13">
        <v>200000</v>
      </c>
      <c r="J8" s="13">
        <v>200000</v>
      </c>
      <c r="K8" s="15">
        <v>212500</v>
      </c>
      <c r="L8" s="13">
        <v>247500</v>
      </c>
      <c r="M8" s="13">
        <v>300000</v>
      </c>
      <c r="N8" s="13">
        <v>150000</v>
      </c>
      <c r="O8" s="13">
        <v>300000</v>
      </c>
      <c r="P8" s="15">
        <v>340000</v>
      </c>
      <c r="Q8" s="15">
        <v>310000</v>
      </c>
      <c r="R8" s="15">
        <v>310000</v>
      </c>
      <c r="S8" s="15">
        <v>335000</v>
      </c>
      <c r="T8" s="15">
        <v>355000</v>
      </c>
      <c r="U8" s="49">
        <v>150000</v>
      </c>
      <c r="V8" s="57"/>
      <c r="W8" s="33">
        <v>400000</v>
      </c>
      <c r="X8" s="15">
        <v>350000</v>
      </c>
      <c r="Y8" s="10"/>
      <c r="Z8" s="15">
        <v>350000</v>
      </c>
      <c r="AA8" s="10">
        <v>100000</v>
      </c>
      <c r="AB8" s="69">
        <v>370000</v>
      </c>
      <c r="AC8" s="10"/>
      <c r="AD8" s="70">
        <v>380000</v>
      </c>
      <c r="AE8" s="70">
        <v>155000</v>
      </c>
      <c r="AF8" s="15">
        <v>400000</v>
      </c>
      <c r="AG8" s="15">
        <v>250000</v>
      </c>
      <c r="AH8" s="15">
        <v>200000</v>
      </c>
      <c r="AI8" s="15">
        <v>440000</v>
      </c>
      <c r="AJ8" s="15">
        <v>147000</v>
      </c>
      <c r="AK8" s="40">
        <v>440000</v>
      </c>
      <c r="AL8" s="40">
        <v>140000</v>
      </c>
      <c r="AM8" s="40">
        <v>440000</v>
      </c>
      <c r="AN8" s="40">
        <v>35000</v>
      </c>
      <c r="AO8" s="71">
        <v>440000</v>
      </c>
      <c r="AP8" s="22">
        <v>154000</v>
      </c>
      <c r="AQ8" s="40"/>
      <c r="AR8" s="40"/>
      <c r="AS8" s="40"/>
    </row>
    <row r="9" spans="1:45" x14ac:dyDescent="0.25">
      <c r="A9" s="34">
        <v>5</v>
      </c>
      <c r="B9" s="27">
        <v>207000</v>
      </c>
      <c r="C9" s="86" t="s">
        <v>110</v>
      </c>
      <c r="D9" s="87" t="s">
        <v>111</v>
      </c>
      <c r="E9" s="13" t="s">
        <v>112</v>
      </c>
      <c r="F9" s="27"/>
      <c r="G9" s="36"/>
      <c r="H9" s="29">
        <v>30000</v>
      </c>
      <c r="I9" s="13">
        <v>75000</v>
      </c>
      <c r="J9" s="13">
        <v>75000</v>
      </c>
      <c r="K9" s="15">
        <v>80000</v>
      </c>
      <c r="L9" s="13">
        <v>80000</v>
      </c>
      <c r="M9" s="13">
        <v>80000</v>
      </c>
      <c r="N9" s="13">
        <v>40000</v>
      </c>
      <c r="O9" s="13">
        <v>80000</v>
      </c>
      <c r="P9" s="15">
        <v>107000</v>
      </c>
      <c r="Q9" s="15">
        <v>107000</v>
      </c>
      <c r="R9" s="15">
        <v>107000</v>
      </c>
      <c r="S9" s="15">
        <v>117000</v>
      </c>
      <c r="T9" s="15">
        <v>200000</v>
      </c>
      <c r="U9" s="49">
        <v>103000</v>
      </c>
      <c r="V9" s="57"/>
      <c r="W9" s="33">
        <v>207000</v>
      </c>
      <c r="X9" s="15">
        <v>219000</v>
      </c>
      <c r="Y9" s="10">
        <v>50000</v>
      </c>
      <c r="Z9" s="15">
        <v>219000</v>
      </c>
      <c r="AA9" s="15"/>
      <c r="AB9" s="15">
        <v>228000</v>
      </c>
      <c r="AC9" s="10"/>
      <c r="AD9" s="70">
        <v>237000</v>
      </c>
      <c r="AE9" s="70"/>
      <c r="AF9" s="15"/>
      <c r="AG9" s="15">
        <v>400000</v>
      </c>
      <c r="AH9" s="15">
        <v>134000</v>
      </c>
      <c r="AI9" s="15">
        <v>254000</v>
      </c>
      <c r="AJ9" s="15">
        <v>100000</v>
      </c>
      <c r="AK9" s="40">
        <v>254000</v>
      </c>
      <c r="AL9" s="40">
        <v>500000</v>
      </c>
      <c r="AM9" s="40">
        <v>254000</v>
      </c>
      <c r="AN9" s="40">
        <v>500000</v>
      </c>
      <c r="AO9" s="40">
        <v>254000</v>
      </c>
      <c r="AP9" s="22"/>
      <c r="AQ9" s="40"/>
      <c r="AR9" s="40"/>
      <c r="AS9" s="40"/>
    </row>
    <row r="10" spans="1:45" x14ac:dyDescent="0.25">
      <c r="A10" s="34"/>
      <c r="B10" s="27">
        <v>160000</v>
      </c>
      <c r="C10" s="53" t="s">
        <v>113</v>
      </c>
      <c r="D10" s="29"/>
      <c r="E10" s="8"/>
      <c r="F10" s="43"/>
      <c r="G10" s="46"/>
      <c r="H10" s="88"/>
      <c r="I10" s="8"/>
      <c r="J10" s="18"/>
      <c r="K10" s="18"/>
      <c r="L10" s="18"/>
      <c r="M10" s="18"/>
      <c r="N10" s="18"/>
      <c r="O10" s="8">
        <v>80000</v>
      </c>
      <c r="P10" s="15">
        <v>160000</v>
      </c>
      <c r="Q10" s="15">
        <v>160000</v>
      </c>
      <c r="R10" s="15">
        <v>160000</v>
      </c>
      <c r="S10" s="59"/>
      <c r="T10" s="60"/>
      <c r="U10" s="61"/>
      <c r="V10" s="50"/>
      <c r="W10" s="62"/>
      <c r="X10" s="59"/>
      <c r="Y10" s="60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89"/>
      <c r="AL10" s="89"/>
      <c r="AM10" s="89"/>
      <c r="AN10" s="89"/>
      <c r="AO10" s="89"/>
      <c r="AP10" s="89"/>
      <c r="AQ10" s="89"/>
      <c r="AR10" s="89"/>
      <c r="AS10" s="89"/>
    </row>
    <row r="11" spans="1:45" x14ac:dyDescent="0.25">
      <c r="A11" s="34">
        <v>6</v>
      </c>
      <c r="B11" s="27">
        <v>110000</v>
      </c>
      <c r="C11" s="35" t="s">
        <v>114</v>
      </c>
      <c r="D11" s="66"/>
      <c r="E11" s="13" t="s">
        <v>10</v>
      </c>
      <c r="F11" s="27"/>
      <c r="G11" s="36"/>
      <c r="H11" s="33">
        <v>50000</v>
      </c>
      <c r="I11" s="13">
        <v>100000</v>
      </c>
      <c r="J11" s="13">
        <v>100000</v>
      </c>
      <c r="K11" s="15">
        <v>100000</v>
      </c>
      <c r="L11" s="13">
        <v>100000</v>
      </c>
      <c r="M11" s="13">
        <v>100000</v>
      </c>
      <c r="N11" s="13">
        <v>50000</v>
      </c>
      <c r="O11" s="13">
        <v>100000</v>
      </c>
      <c r="P11" s="15">
        <v>110000</v>
      </c>
      <c r="Q11" s="15">
        <v>110000</v>
      </c>
      <c r="R11" s="15">
        <v>110000</v>
      </c>
      <c r="S11" s="15">
        <v>110000</v>
      </c>
      <c r="T11" s="15">
        <v>110000</v>
      </c>
      <c r="U11" s="49">
        <v>55000</v>
      </c>
      <c r="V11" s="57"/>
      <c r="W11" s="33">
        <v>110000</v>
      </c>
      <c r="X11" s="15">
        <v>110000</v>
      </c>
      <c r="Y11" s="10"/>
      <c r="Z11" s="15">
        <v>110000</v>
      </c>
      <c r="AA11" s="10"/>
      <c r="AB11" s="15">
        <v>130000</v>
      </c>
      <c r="AC11" s="10"/>
      <c r="AD11" s="70">
        <v>140000</v>
      </c>
      <c r="AE11" s="70"/>
      <c r="AF11" s="15">
        <v>150000</v>
      </c>
      <c r="AG11" s="15"/>
      <c r="AH11" s="15">
        <v>75000</v>
      </c>
      <c r="AI11" s="15">
        <v>165000</v>
      </c>
      <c r="AJ11" s="15"/>
      <c r="AK11" s="40">
        <v>165000</v>
      </c>
      <c r="AL11" s="40"/>
      <c r="AM11" s="40">
        <v>165000</v>
      </c>
      <c r="AN11" s="40"/>
      <c r="AO11" s="40">
        <v>165000</v>
      </c>
      <c r="AP11" s="40"/>
      <c r="AQ11" s="40"/>
      <c r="AR11" s="40"/>
      <c r="AS11" s="40"/>
    </row>
    <row r="12" spans="1:45" x14ac:dyDescent="0.25">
      <c r="A12" s="34">
        <v>7</v>
      </c>
      <c r="B12" s="27">
        <v>250000</v>
      </c>
      <c r="C12" s="86" t="s">
        <v>115</v>
      </c>
      <c r="D12" s="90" t="s">
        <v>116</v>
      </c>
      <c r="E12" s="13" t="s">
        <v>112</v>
      </c>
      <c r="F12" s="27"/>
      <c r="G12" s="36"/>
      <c r="H12" s="33">
        <v>133100</v>
      </c>
      <c r="I12" s="13">
        <v>200000</v>
      </c>
      <c r="J12" s="13">
        <v>200000</v>
      </c>
      <c r="K12" s="15">
        <v>200000</v>
      </c>
      <c r="L12" s="13">
        <v>200000</v>
      </c>
      <c r="M12" s="13">
        <v>200000</v>
      </c>
      <c r="N12" s="13">
        <v>100000</v>
      </c>
      <c r="O12" s="13">
        <v>250000</v>
      </c>
      <c r="P12" s="15">
        <v>215000</v>
      </c>
      <c r="Q12" s="15">
        <v>215000</v>
      </c>
      <c r="R12" s="15">
        <v>250000</v>
      </c>
      <c r="S12" s="15">
        <v>250000</v>
      </c>
      <c r="T12" s="15">
        <v>260000</v>
      </c>
      <c r="U12" s="49">
        <v>132000</v>
      </c>
      <c r="V12" s="57"/>
      <c r="W12" s="33">
        <v>264000</v>
      </c>
      <c r="X12" s="15">
        <v>267000</v>
      </c>
      <c r="Y12" s="10"/>
      <c r="Z12" s="15">
        <v>267000</v>
      </c>
      <c r="AA12" s="10"/>
      <c r="AB12" s="15">
        <v>280000</v>
      </c>
      <c r="AC12" s="10"/>
      <c r="AD12" s="70">
        <v>307000</v>
      </c>
      <c r="AE12" s="70"/>
      <c r="AF12" s="15">
        <v>400000</v>
      </c>
      <c r="AG12" s="15"/>
      <c r="AH12" s="15">
        <v>196350</v>
      </c>
      <c r="AI12" s="91">
        <v>361000</v>
      </c>
      <c r="AJ12" s="15">
        <v>39000</v>
      </c>
      <c r="AK12" s="40">
        <v>361000</v>
      </c>
      <c r="AL12" s="15">
        <v>150000</v>
      </c>
      <c r="AM12" s="40">
        <v>361000</v>
      </c>
      <c r="AN12" s="15">
        <v>150000</v>
      </c>
      <c r="AO12" s="40">
        <v>361000</v>
      </c>
      <c r="AP12" s="40"/>
      <c r="AQ12" s="40"/>
      <c r="AR12" s="40"/>
      <c r="AS12" s="40"/>
    </row>
    <row r="13" spans="1:45" x14ac:dyDescent="0.25">
      <c r="A13" s="34">
        <v>8</v>
      </c>
      <c r="B13" s="27">
        <v>182000</v>
      </c>
      <c r="C13" s="86" t="s">
        <v>117</v>
      </c>
      <c r="D13" s="90" t="s">
        <v>118</v>
      </c>
      <c r="E13" s="13" t="s">
        <v>112</v>
      </c>
      <c r="F13" s="27"/>
      <c r="G13" s="36"/>
      <c r="H13" s="33">
        <v>50000</v>
      </c>
      <c r="I13" s="13">
        <v>150000</v>
      </c>
      <c r="J13" s="13">
        <v>150000</v>
      </c>
      <c r="K13" s="15">
        <v>156250</v>
      </c>
      <c r="L13" s="13">
        <v>190000</v>
      </c>
      <c r="M13" s="13">
        <v>192499</v>
      </c>
      <c r="N13" s="10">
        <v>75000</v>
      </c>
      <c r="O13" s="13">
        <v>150000</v>
      </c>
      <c r="P13" s="15">
        <v>165000</v>
      </c>
      <c r="Q13" s="15">
        <v>160000</v>
      </c>
      <c r="R13" s="15">
        <v>165000</v>
      </c>
      <c r="S13" s="15">
        <v>175000</v>
      </c>
      <c r="T13" s="15">
        <v>175000</v>
      </c>
      <c r="U13" s="49">
        <v>87500</v>
      </c>
      <c r="V13" s="50"/>
      <c r="W13" s="39">
        <v>196000</v>
      </c>
      <c r="X13" s="15">
        <v>182000</v>
      </c>
      <c r="Y13" s="10">
        <v>32000</v>
      </c>
      <c r="Z13" s="15">
        <v>182000</v>
      </c>
      <c r="AA13" s="10"/>
      <c r="AB13" s="15">
        <v>189000</v>
      </c>
      <c r="AC13" s="10"/>
      <c r="AD13" s="70">
        <v>203000</v>
      </c>
      <c r="AE13" s="70"/>
      <c r="AF13" s="15">
        <v>236000</v>
      </c>
      <c r="AG13" s="15"/>
      <c r="AH13" s="15">
        <v>104000</v>
      </c>
      <c r="AI13" s="15">
        <v>250000</v>
      </c>
      <c r="AJ13" s="15"/>
      <c r="AK13" s="40">
        <v>250000</v>
      </c>
      <c r="AL13" s="40"/>
      <c r="AM13" s="40">
        <v>250000</v>
      </c>
      <c r="AN13" s="40"/>
      <c r="AO13" s="40">
        <v>250000</v>
      </c>
      <c r="AP13" s="40"/>
      <c r="AQ13" s="40"/>
      <c r="AR13" s="40"/>
      <c r="AS13" s="40"/>
    </row>
    <row r="14" spans="1:45" x14ac:dyDescent="0.25">
      <c r="A14" s="34">
        <v>9</v>
      </c>
      <c r="B14" s="27">
        <v>140000</v>
      </c>
      <c r="C14" s="92" t="s">
        <v>119</v>
      </c>
      <c r="D14" s="29"/>
      <c r="E14" s="13"/>
      <c r="F14" s="13"/>
      <c r="G14" s="58"/>
      <c r="H14" s="58"/>
      <c r="I14" s="58"/>
      <c r="J14" s="93"/>
      <c r="K14" s="93"/>
      <c r="L14" s="93"/>
      <c r="M14" s="93"/>
      <c r="N14" s="93"/>
      <c r="O14" s="93"/>
      <c r="P14" s="93"/>
      <c r="Q14" s="93"/>
      <c r="R14" s="93"/>
      <c r="S14" s="59"/>
      <c r="T14" s="94"/>
      <c r="U14" s="60"/>
      <c r="V14" s="93"/>
      <c r="W14" s="59"/>
      <c r="X14" s="59"/>
      <c r="Y14" s="60"/>
      <c r="Z14" s="93"/>
      <c r="AA14" s="93"/>
      <c r="AB14" s="93"/>
      <c r="AC14" s="93"/>
      <c r="AD14" s="95"/>
      <c r="AE14" s="95"/>
      <c r="AF14" s="15">
        <v>140000</v>
      </c>
      <c r="AG14" s="15">
        <v>70000</v>
      </c>
      <c r="AH14" s="15"/>
      <c r="AI14" s="15">
        <v>154000</v>
      </c>
      <c r="AJ14" s="15"/>
      <c r="AK14" s="15">
        <v>154000</v>
      </c>
      <c r="AL14" s="15"/>
      <c r="AM14" s="96"/>
      <c r="AN14" s="96"/>
      <c r="AO14" s="96"/>
      <c r="AP14" s="96"/>
      <c r="AQ14" s="96"/>
      <c r="AR14" s="96"/>
      <c r="AS14" s="96"/>
    </row>
    <row r="15" spans="1:45" x14ac:dyDescent="0.25">
      <c r="A15" s="34">
        <v>10</v>
      </c>
      <c r="B15" s="27">
        <v>110000</v>
      </c>
      <c r="C15" s="53" t="s">
        <v>120</v>
      </c>
      <c r="D15" s="29" t="s">
        <v>121</v>
      </c>
      <c r="E15" s="13"/>
      <c r="F15" s="27"/>
      <c r="G15" s="36"/>
      <c r="H15" s="29"/>
      <c r="I15" s="13"/>
      <c r="J15" s="13"/>
      <c r="K15" s="13"/>
      <c r="L15" s="13"/>
      <c r="M15" s="13">
        <v>100000</v>
      </c>
      <c r="N15" s="13">
        <v>50000</v>
      </c>
      <c r="O15" s="15">
        <v>100000</v>
      </c>
      <c r="P15" s="13">
        <v>110000</v>
      </c>
      <c r="Q15" s="15">
        <v>110000</v>
      </c>
      <c r="R15" s="15">
        <v>110000</v>
      </c>
      <c r="S15" s="15">
        <v>110000</v>
      </c>
      <c r="T15" s="15">
        <v>110000</v>
      </c>
      <c r="U15" s="49">
        <v>55000</v>
      </c>
      <c r="V15" s="57"/>
      <c r="W15" s="39">
        <v>110000</v>
      </c>
      <c r="X15" s="40">
        <v>110000</v>
      </c>
      <c r="Y15" s="22"/>
      <c r="Z15" s="40">
        <v>110000</v>
      </c>
      <c r="AA15" s="22"/>
      <c r="AB15" s="40">
        <v>130000</v>
      </c>
      <c r="AC15" s="22"/>
      <c r="AD15" s="41">
        <v>140000</v>
      </c>
      <c r="AE15" s="41"/>
      <c r="AF15" s="40">
        <v>150000</v>
      </c>
      <c r="AG15" s="40"/>
      <c r="AH15" s="40">
        <v>75000</v>
      </c>
      <c r="AI15" s="40"/>
      <c r="AJ15" s="40"/>
      <c r="AK15" s="84"/>
      <c r="AL15" s="84"/>
      <c r="AM15" s="84"/>
      <c r="AN15" s="84"/>
      <c r="AO15" s="84"/>
      <c r="AP15" s="84"/>
      <c r="AQ15" s="84"/>
      <c r="AR15" s="84"/>
      <c r="AS15" s="84"/>
    </row>
    <row r="16" spans="1:45" x14ac:dyDescent="0.25">
      <c r="A16" s="34">
        <v>11</v>
      </c>
      <c r="B16" s="27">
        <v>85000</v>
      </c>
      <c r="C16" s="35" t="s">
        <v>122</v>
      </c>
      <c r="D16" s="66"/>
      <c r="E16" s="13" t="s">
        <v>10</v>
      </c>
      <c r="F16" s="27"/>
      <c r="G16" s="36"/>
      <c r="H16" s="29">
        <v>40000</v>
      </c>
      <c r="I16" s="13">
        <v>75000</v>
      </c>
      <c r="J16" s="13">
        <v>75000</v>
      </c>
      <c r="K16" s="15">
        <v>75000</v>
      </c>
      <c r="L16" s="13">
        <v>75000</v>
      </c>
      <c r="M16" s="13">
        <v>75000</v>
      </c>
      <c r="N16" s="13">
        <v>40000</v>
      </c>
      <c r="O16" s="13">
        <v>75000</v>
      </c>
      <c r="P16" s="15">
        <v>85000</v>
      </c>
      <c r="Q16" s="15">
        <v>85000</v>
      </c>
      <c r="R16" s="15">
        <v>85000</v>
      </c>
      <c r="S16" s="15">
        <v>85000</v>
      </c>
      <c r="T16" s="15">
        <v>85000</v>
      </c>
      <c r="U16" s="49">
        <v>42500</v>
      </c>
      <c r="V16" s="38"/>
      <c r="W16" s="39">
        <v>85000</v>
      </c>
      <c r="X16" s="40">
        <v>85000</v>
      </c>
      <c r="Y16" s="22"/>
      <c r="Z16" s="40">
        <v>125000</v>
      </c>
      <c r="AA16" s="22"/>
      <c r="AB16" s="40">
        <v>135000</v>
      </c>
      <c r="AC16" s="22"/>
      <c r="AD16" s="41">
        <v>145000</v>
      </c>
      <c r="AE16" s="41"/>
      <c r="AF16" s="40">
        <v>150000</v>
      </c>
      <c r="AG16" s="40"/>
      <c r="AH16" s="40">
        <v>75000</v>
      </c>
      <c r="AI16" s="40">
        <v>165000</v>
      </c>
      <c r="AJ16" s="40"/>
      <c r="AK16" s="40">
        <v>165000</v>
      </c>
      <c r="AL16" s="40"/>
      <c r="AM16" s="40">
        <v>165000</v>
      </c>
      <c r="AN16" s="40">
        <v>50000</v>
      </c>
      <c r="AO16" s="40">
        <v>165000</v>
      </c>
      <c r="AP16" s="40"/>
      <c r="AQ16" s="40"/>
      <c r="AR16" s="40"/>
      <c r="AS16" s="40"/>
    </row>
    <row r="17" spans="1:45" x14ac:dyDescent="0.25">
      <c r="A17" s="34">
        <v>12</v>
      </c>
      <c r="B17" s="27">
        <v>215000</v>
      </c>
      <c r="C17" s="86" t="s">
        <v>123</v>
      </c>
      <c r="D17" s="90"/>
      <c r="E17" s="13" t="s">
        <v>112</v>
      </c>
      <c r="F17" s="27"/>
      <c r="G17" s="36"/>
      <c r="H17" s="97">
        <v>143130</v>
      </c>
      <c r="I17" s="13">
        <v>200000</v>
      </c>
      <c r="J17" s="13">
        <v>200000</v>
      </c>
      <c r="K17" s="15">
        <v>200000</v>
      </c>
      <c r="L17" s="13">
        <v>200000</v>
      </c>
      <c r="M17" s="13">
        <v>200000</v>
      </c>
      <c r="N17" s="13">
        <v>100000</v>
      </c>
      <c r="O17" s="13">
        <v>200000</v>
      </c>
      <c r="P17" s="15">
        <v>215000</v>
      </c>
      <c r="Q17" s="15">
        <v>215000</v>
      </c>
      <c r="R17" s="15">
        <v>215000</v>
      </c>
      <c r="S17" s="15">
        <v>265000</v>
      </c>
      <c r="T17" s="15">
        <v>225000</v>
      </c>
      <c r="U17" s="37">
        <v>132500</v>
      </c>
      <c r="V17" s="50"/>
      <c r="W17" s="39">
        <v>229000</v>
      </c>
      <c r="X17" s="40">
        <v>232000</v>
      </c>
      <c r="Y17" s="22">
        <v>232000</v>
      </c>
      <c r="Z17" s="40">
        <v>232000</v>
      </c>
      <c r="AA17" s="22"/>
      <c r="AB17" s="40">
        <v>240000</v>
      </c>
      <c r="AC17" s="22"/>
      <c r="AD17" s="41">
        <v>288000</v>
      </c>
      <c r="AE17" s="41"/>
      <c r="AF17" s="40">
        <v>307000</v>
      </c>
      <c r="AG17" s="40"/>
      <c r="AH17" s="40">
        <v>191000</v>
      </c>
      <c r="AI17" s="40">
        <v>332000</v>
      </c>
      <c r="AJ17" s="40"/>
      <c r="AK17" s="40">
        <v>332000</v>
      </c>
      <c r="AL17" s="40"/>
      <c r="AM17" s="40">
        <v>332000</v>
      </c>
      <c r="AN17" s="40"/>
      <c r="AO17" s="40">
        <v>332000</v>
      </c>
      <c r="AP17" s="40"/>
      <c r="AQ17" s="40"/>
      <c r="AR17" s="40"/>
      <c r="AS17" s="40"/>
    </row>
    <row r="18" spans="1:45" s="98" customFormat="1" x14ac:dyDescent="0.25">
      <c r="A18" s="34">
        <v>13</v>
      </c>
      <c r="B18" s="27">
        <v>85000</v>
      </c>
      <c r="C18" s="35" t="s">
        <v>124</v>
      </c>
      <c r="D18" s="87"/>
      <c r="E18" s="13" t="s">
        <v>10</v>
      </c>
      <c r="F18" s="27"/>
      <c r="G18" s="36"/>
      <c r="H18" s="29">
        <v>45000</v>
      </c>
      <c r="I18" s="13">
        <v>75000</v>
      </c>
      <c r="J18" s="15">
        <v>75000</v>
      </c>
      <c r="K18" s="15">
        <v>75000</v>
      </c>
      <c r="L18" s="15">
        <v>75000</v>
      </c>
      <c r="M18" s="13">
        <v>75000</v>
      </c>
      <c r="N18" s="10">
        <v>40000</v>
      </c>
      <c r="O18" s="13">
        <v>75000</v>
      </c>
      <c r="P18" s="15">
        <v>85000</v>
      </c>
      <c r="Q18" s="15">
        <v>85000</v>
      </c>
      <c r="R18" s="15">
        <v>85000</v>
      </c>
      <c r="S18" s="15">
        <v>85000</v>
      </c>
      <c r="T18" s="15">
        <v>85000</v>
      </c>
      <c r="U18" s="37">
        <v>42500</v>
      </c>
      <c r="V18" s="50"/>
      <c r="W18" s="39">
        <v>85000</v>
      </c>
      <c r="X18" s="40">
        <v>95000</v>
      </c>
      <c r="Y18" s="22"/>
      <c r="Z18" s="40">
        <v>95000</v>
      </c>
      <c r="AA18" s="22"/>
      <c r="AB18" s="51">
        <v>110000</v>
      </c>
      <c r="AC18" s="22"/>
      <c r="AD18" s="41">
        <v>130000</v>
      </c>
      <c r="AE18" s="41"/>
      <c r="AF18" s="40">
        <v>150000</v>
      </c>
      <c r="AG18" s="40"/>
      <c r="AH18" s="40">
        <v>75000</v>
      </c>
      <c r="AI18" s="40">
        <f>(AF18*(1+0.1))</f>
        <v>165000</v>
      </c>
      <c r="AJ18" s="40"/>
      <c r="AK18" s="40">
        <v>165000</v>
      </c>
      <c r="AL18" s="40"/>
      <c r="AM18" s="40">
        <v>165000</v>
      </c>
      <c r="AN18" s="40"/>
      <c r="AO18" s="40">
        <v>165000</v>
      </c>
      <c r="AP18" s="40"/>
      <c r="AQ18" s="40"/>
      <c r="AR18" s="40"/>
      <c r="AS18" s="40"/>
    </row>
    <row r="19" spans="1:45" x14ac:dyDescent="0.25">
      <c r="A19" s="34">
        <v>14</v>
      </c>
      <c r="B19" s="99">
        <v>40000</v>
      </c>
      <c r="C19" s="35" t="s">
        <v>125</v>
      </c>
      <c r="D19" s="100" t="s">
        <v>126</v>
      </c>
      <c r="E19" s="16" t="s">
        <v>10</v>
      </c>
      <c r="F19" s="99"/>
      <c r="G19" s="101"/>
      <c r="H19" s="97">
        <v>18000</v>
      </c>
      <c r="I19" s="16">
        <v>30000</v>
      </c>
      <c r="J19" s="16">
        <v>30000</v>
      </c>
      <c r="K19" s="16">
        <v>30000</v>
      </c>
      <c r="L19" s="16">
        <v>30000</v>
      </c>
      <c r="M19" s="16">
        <v>30000</v>
      </c>
      <c r="N19" s="16">
        <v>15000</v>
      </c>
      <c r="O19" s="16">
        <v>30000</v>
      </c>
      <c r="P19" s="16">
        <v>40000</v>
      </c>
      <c r="Q19" s="16">
        <v>40000</v>
      </c>
      <c r="R19" s="16">
        <v>40000</v>
      </c>
      <c r="S19" s="16">
        <v>40000</v>
      </c>
      <c r="T19" s="16">
        <v>40000</v>
      </c>
      <c r="U19" s="102">
        <v>20000</v>
      </c>
      <c r="V19" s="103"/>
      <c r="W19" s="104">
        <v>40000</v>
      </c>
      <c r="X19" s="105">
        <v>50000</v>
      </c>
      <c r="Y19" s="105"/>
      <c r="Z19" s="105">
        <v>50000</v>
      </c>
      <c r="AA19" s="105"/>
      <c r="AB19" s="40">
        <v>70000</v>
      </c>
      <c r="AC19" s="22"/>
      <c r="AD19" s="41">
        <v>80000</v>
      </c>
      <c r="AE19" s="41"/>
      <c r="AF19" s="40">
        <v>100000</v>
      </c>
      <c r="AG19" s="40"/>
      <c r="AH19" s="40">
        <v>50000</v>
      </c>
      <c r="AI19" s="40">
        <f>(AF19*(1+0.1))</f>
        <v>110000.00000000001</v>
      </c>
      <c r="AJ19" s="40"/>
      <c r="AK19" s="40">
        <v>110000</v>
      </c>
      <c r="AL19" s="40"/>
      <c r="AM19" s="40">
        <v>110000</v>
      </c>
      <c r="AN19" s="40"/>
      <c r="AO19" s="40">
        <v>110000</v>
      </c>
      <c r="AP19" s="40"/>
      <c r="AQ19" s="40"/>
      <c r="AR19" s="40"/>
      <c r="AS19" s="40"/>
    </row>
    <row r="20" spans="1:45" x14ac:dyDescent="0.25">
      <c r="A20" s="34">
        <v>15</v>
      </c>
      <c r="B20" s="27">
        <v>85000</v>
      </c>
      <c r="C20" s="35" t="s">
        <v>127</v>
      </c>
      <c r="D20" s="66"/>
      <c r="E20" s="13" t="s">
        <v>10</v>
      </c>
      <c r="F20" s="27"/>
      <c r="G20" s="36"/>
      <c r="H20" s="97">
        <v>45000</v>
      </c>
      <c r="I20" s="15">
        <v>75000</v>
      </c>
      <c r="J20" s="15">
        <v>75000</v>
      </c>
      <c r="K20" s="15">
        <v>75000</v>
      </c>
      <c r="L20" s="15">
        <v>75000</v>
      </c>
      <c r="M20" s="13">
        <v>75000</v>
      </c>
      <c r="N20" s="10">
        <v>40000</v>
      </c>
      <c r="O20" s="13">
        <v>75000</v>
      </c>
      <c r="P20" s="15">
        <v>85000</v>
      </c>
      <c r="Q20" s="15">
        <v>85000</v>
      </c>
      <c r="R20" s="15">
        <v>85000</v>
      </c>
      <c r="S20" s="15">
        <v>85000</v>
      </c>
      <c r="T20" s="15">
        <v>85000</v>
      </c>
      <c r="U20" s="37">
        <v>42500</v>
      </c>
      <c r="V20" s="38"/>
      <c r="W20" s="39">
        <v>85000</v>
      </c>
      <c r="X20" s="40">
        <v>85000</v>
      </c>
      <c r="Y20" s="22"/>
      <c r="Z20" s="40">
        <v>95000</v>
      </c>
      <c r="AA20" s="22"/>
      <c r="AB20" s="51">
        <v>110000</v>
      </c>
      <c r="AC20" s="22"/>
      <c r="AD20" s="41">
        <v>130000</v>
      </c>
      <c r="AE20" s="41"/>
      <c r="AF20" s="40">
        <v>150000</v>
      </c>
      <c r="AG20" s="40"/>
      <c r="AH20" s="40">
        <v>75000</v>
      </c>
      <c r="AI20" s="40">
        <f>(AF20*(1+0.1))</f>
        <v>165000</v>
      </c>
      <c r="AJ20" s="40"/>
      <c r="AK20" s="40">
        <v>165000</v>
      </c>
      <c r="AL20" s="40"/>
      <c r="AM20" s="40">
        <v>165000</v>
      </c>
      <c r="AN20" s="40"/>
      <c r="AO20" s="40">
        <v>165000</v>
      </c>
      <c r="AP20" s="40"/>
      <c r="AQ20" s="40"/>
      <c r="AR20" s="40"/>
      <c r="AS20" s="40"/>
    </row>
    <row r="21" spans="1:45" x14ac:dyDescent="0.25">
      <c r="A21" s="34">
        <v>16</v>
      </c>
      <c r="B21" s="27">
        <v>215000</v>
      </c>
      <c r="C21" s="35" t="s">
        <v>128</v>
      </c>
      <c r="D21" s="90" t="s">
        <v>129</v>
      </c>
      <c r="E21" s="13" t="s">
        <v>112</v>
      </c>
      <c r="F21" s="27"/>
      <c r="G21" s="36"/>
      <c r="H21" s="29">
        <v>130000</v>
      </c>
      <c r="I21" s="13">
        <v>200000</v>
      </c>
      <c r="J21" s="13">
        <v>200000</v>
      </c>
      <c r="K21" s="15">
        <v>200000</v>
      </c>
      <c r="L21" s="15">
        <v>200000</v>
      </c>
      <c r="M21" s="13">
        <v>200000</v>
      </c>
      <c r="N21" s="13">
        <v>100000</v>
      </c>
      <c r="O21" s="13">
        <v>200000</v>
      </c>
      <c r="P21" s="13">
        <v>215000</v>
      </c>
      <c r="Q21" s="63">
        <v>215000</v>
      </c>
      <c r="R21" s="63">
        <v>215000</v>
      </c>
      <c r="S21" s="63">
        <v>215000</v>
      </c>
      <c r="T21" s="63">
        <v>225000</v>
      </c>
      <c r="U21" s="49">
        <v>100000</v>
      </c>
      <c r="V21" s="57"/>
      <c r="W21" s="39">
        <v>229000</v>
      </c>
      <c r="X21" s="40">
        <v>232000</v>
      </c>
      <c r="Y21" s="22"/>
      <c r="Z21" s="40">
        <v>232000</v>
      </c>
      <c r="AA21" s="22"/>
      <c r="AB21" s="40">
        <v>250000</v>
      </c>
      <c r="AC21" s="22"/>
      <c r="AD21" s="41">
        <v>259000</v>
      </c>
      <c r="AE21" s="41"/>
      <c r="AF21" s="40">
        <v>303000</v>
      </c>
      <c r="AG21" s="40"/>
      <c r="AH21" s="40">
        <v>125000</v>
      </c>
      <c r="AI21" s="40">
        <v>321000</v>
      </c>
      <c r="AJ21" s="40"/>
      <c r="AK21" s="40">
        <v>321000</v>
      </c>
      <c r="AL21" s="40"/>
      <c r="AM21" s="40">
        <v>321000</v>
      </c>
      <c r="AN21" s="40"/>
      <c r="AO21" s="40">
        <v>321000</v>
      </c>
      <c r="AP21" s="22">
        <v>100000</v>
      </c>
      <c r="AQ21" s="40"/>
      <c r="AR21" s="40"/>
      <c r="AS21" s="40"/>
    </row>
    <row r="22" spans="1:45" s="85" customFormat="1" x14ac:dyDescent="0.25">
      <c r="A22" s="34">
        <v>17</v>
      </c>
      <c r="B22" s="27">
        <v>200000</v>
      </c>
      <c r="C22" s="53" t="s">
        <v>130</v>
      </c>
      <c r="D22" s="29"/>
      <c r="E22" s="13" t="s">
        <v>131</v>
      </c>
      <c r="F22" s="27"/>
      <c r="G22" s="36"/>
      <c r="H22" s="29"/>
      <c r="I22" s="13"/>
      <c r="J22" s="15">
        <v>20000</v>
      </c>
      <c r="K22" s="15">
        <v>50000</v>
      </c>
      <c r="L22" s="13">
        <v>32500</v>
      </c>
      <c r="M22" s="58"/>
      <c r="N22" s="58"/>
      <c r="O22" s="58"/>
      <c r="P22" s="58"/>
      <c r="Q22" s="59"/>
      <c r="R22" s="59"/>
      <c r="S22" s="59"/>
      <c r="T22" s="60"/>
      <c r="U22" s="61"/>
      <c r="V22" s="38"/>
      <c r="W22" s="106"/>
      <c r="X22" s="89"/>
      <c r="Y22" s="107"/>
      <c r="Z22" s="89"/>
      <c r="AA22" s="89"/>
      <c r="AB22" s="48"/>
      <c r="AC22" s="48"/>
      <c r="AD22" s="48"/>
      <c r="AE22" s="107"/>
      <c r="AF22" s="89"/>
      <c r="AG22" s="107"/>
      <c r="AH22" s="48"/>
      <c r="AI22" s="107"/>
      <c r="AJ22" s="107"/>
      <c r="AK22" s="107"/>
      <c r="AL22" s="48"/>
      <c r="AM22" s="89"/>
      <c r="AN22" s="107"/>
      <c r="AO22" s="108"/>
      <c r="AP22" s="108"/>
      <c r="AQ22" s="48"/>
      <c r="AR22" s="48"/>
      <c r="AS22" s="48"/>
    </row>
    <row r="23" spans="1:45" x14ac:dyDescent="0.25">
      <c r="A23" s="34"/>
      <c r="B23" s="72">
        <v>160000</v>
      </c>
      <c r="C23" s="53" t="s">
        <v>132</v>
      </c>
      <c r="D23" s="109"/>
      <c r="E23" s="74" t="s">
        <v>10</v>
      </c>
      <c r="F23" s="72"/>
      <c r="G23" s="75"/>
      <c r="H23" s="73">
        <v>80000</v>
      </c>
      <c r="I23" s="74">
        <v>200000</v>
      </c>
      <c r="J23" s="74">
        <v>200000</v>
      </c>
      <c r="K23" s="77">
        <v>244375</v>
      </c>
      <c r="L23" s="74">
        <v>206900</v>
      </c>
      <c r="M23" s="74">
        <v>215000</v>
      </c>
      <c r="N23" s="74">
        <v>100000</v>
      </c>
      <c r="O23" s="74">
        <v>202500</v>
      </c>
      <c r="P23" s="74">
        <v>240000</v>
      </c>
      <c r="Q23" s="77"/>
      <c r="R23" s="77"/>
      <c r="S23" s="77"/>
      <c r="T23" s="81"/>
      <c r="U23" s="110"/>
      <c r="V23" s="111"/>
      <c r="W23" s="112"/>
      <c r="X23" s="83"/>
      <c r="Y23" s="113"/>
      <c r="Z23" s="83"/>
      <c r="AA23" s="83"/>
      <c r="AB23" s="114"/>
      <c r="AC23" s="114"/>
      <c r="AD23" s="114"/>
      <c r="AE23" s="113"/>
      <c r="AF23" s="83"/>
      <c r="AG23" s="113"/>
      <c r="AH23" s="114"/>
      <c r="AI23" s="115"/>
      <c r="AJ23" s="115"/>
      <c r="AK23" s="107"/>
      <c r="AL23" s="48"/>
      <c r="AM23" s="89"/>
      <c r="AN23" s="107"/>
      <c r="AO23" s="108"/>
      <c r="AP23" s="108"/>
      <c r="AQ23" s="48"/>
      <c r="AR23" s="48"/>
      <c r="AS23" s="48"/>
    </row>
    <row r="24" spans="1:45" x14ac:dyDescent="0.25">
      <c r="A24" s="34">
        <v>18</v>
      </c>
      <c r="B24" s="27">
        <v>160000</v>
      </c>
      <c r="C24" s="35" t="s">
        <v>133</v>
      </c>
      <c r="D24" s="87" t="s">
        <v>134</v>
      </c>
      <c r="E24" s="13" t="s">
        <v>10</v>
      </c>
      <c r="F24" s="27"/>
      <c r="G24" s="36"/>
      <c r="H24" s="29">
        <v>70000</v>
      </c>
      <c r="I24" s="13">
        <v>150000</v>
      </c>
      <c r="J24" s="13">
        <v>150000</v>
      </c>
      <c r="K24" s="67">
        <v>150000</v>
      </c>
      <c r="L24" s="13">
        <v>153800</v>
      </c>
      <c r="M24" s="13">
        <v>150000</v>
      </c>
      <c r="N24" s="13">
        <v>80000</v>
      </c>
      <c r="O24" s="13">
        <v>150000</v>
      </c>
      <c r="P24" s="13">
        <v>160000</v>
      </c>
      <c r="Q24" s="15">
        <v>137500</v>
      </c>
      <c r="R24" s="15">
        <v>160000</v>
      </c>
      <c r="S24" s="15">
        <v>160000</v>
      </c>
      <c r="T24" s="15">
        <v>180000</v>
      </c>
      <c r="U24" s="49">
        <v>80000</v>
      </c>
      <c r="V24" s="116"/>
      <c r="W24" s="39">
        <v>160000</v>
      </c>
      <c r="X24" s="40">
        <v>200000</v>
      </c>
      <c r="Y24" s="22"/>
      <c r="Z24" s="40">
        <v>200000</v>
      </c>
      <c r="AA24" s="22"/>
      <c r="AB24" s="40">
        <v>220000</v>
      </c>
      <c r="AC24" s="22"/>
      <c r="AD24" s="41">
        <v>230000</v>
      </c>
      <c r="AE24" s="117"/>
      <c r="AF24" s="40">
        <v>250000</v>
      </c>
      <c r="AG24" s="22">
        <v>42000</v>
      </c>
      <c r="AH24" s="40">
        <v>125000</v>
      </c>
      <c r="AI24" s="105">
        <v>300000</v>
      </c>
      <c r="AJ24" s="40">
        <v>52500</v>
      </c>
      <c r="AK24" s="105">
        <v>300000</v>
      </c>
      <c r="AL24" s="105">
        <v>102250</v>
      </c>
      <c r="AM24" s="40">
        <v>300000</v>
      </c>
      <c r="AN24" s="22"/>
      <c r="AO24" s="40">
        <v>300000</v>
      </c>
      <c r="AP24" s="22">
        <v>105000</v>
      </c>
      <c r="AQ24" s="8"/>
      <c r="AR24" s="8"/>
      <c r="AS24" s="8"/>
    </row>
    <row r="25" spans="1:45" x14ac:dyDescent="0.25">
      <c r="A25" s="34">
        <v>19</v>
      </c>
      <c r="B25" s="27">
        <v>215000</v>
      </c>
      <c r="C25" s="86" t="s">
        <v>135</v>
      </c>
      <c r="D25" s="90" t="s">
        <v>136</v>
      </c>
      <c r="E25" s="13" t="s">
        <v>112</v>
      </c>
      <c r="F25" s="27"/>
      <c r="G25" s="36"/>
      <c r="H25" s="97">
        <v>108100</v>
      </c>
      <c r="I25" s="13">
        <v>200000</v>
      </c>
      <c r="J25" s="13">
        <v>200000</v>
      </c>
      <c r="K25" s="15">
        <v>200000</v>
      </c>
      <c r="L25" s="13">
        <v>200000</v>
      </c>
      <c r="M25" s="13">
        <v>200000</v>
      </c>
      <c r="N25" s="10">
        <v>100000</v>
      </c>
      <c r="O25" s="13">
        <v>200000</v>
      </c>
      <c r="P25" s="13">
        <v>215000</v>
      </c>
      <c r="Q25" s="15">
        <v>215000</v>
      </c>
      <c r="R25" s="15">
        <v>215000</v>
      </c>
      <c r="S25" s="15">
        <v>215000</v>
      </c>
      <c r="T25" s="15">
        <v>225000</v>
      </c>
      <c r="U25" s="49">
        <v>114000</v>
      </c>
      <c r="V25" s="116"/>
      <c r="W25" s="39">
        <v>228000</v>
      </c>
      <c r="X25" s="40">
        <v>232000</v>
      </c>
      <c r="Y25" s="22"/>
      <c r="Z25" s="40">
        <v>232000</v>
      </c>
      <c r="AA25" s="22"/>
      <c r="AB25" s="40">
        <v>242000</v>
      </c>
      <c r="AC25" s="22"/>
      <c r="AD25" s="41">
        <v>260000</v>
      </c>
      <c r="AE25" s="117"/>
      <c r="AF25" s="40">
        <v>277000</v>
      </c>
      <c r="AG25" s="22"/>
      <c r="AH25" s="40">
        <v>154000</v>
      </c>
      <c r="AI25" s="105">
        <v>295000</v>
      </c>
      <c r="AJ25" s="22"/>
      <c r="AK25" s="105">
        <v>295000</v>
      </c>
      <c r="AL25" s="8"/>
      <c r="AM25" s="40">
        <v>295000</v>
      </c>
      <c r="AN25" s="22"/>
      <c r="AO25" s="40">
        <v>295000</v>
      </c>
      <c r="AP25" s="40"/>
      <c r="AQ25" s="8"/>
      <c r="AR25" s="8"/>
      <c r="AS25" s="8"/>
    </row>
    <row r="26" spans="1:45" x14ac:dyDescent="0.25">
      <c r="A26" s="34">
        <v>20</v>
      </c>
      <c r="B26" s="27">
        <v>40000</v>
      </c>
      <c r="C26" s="65" t="s">
        <v>137</v>
      </c>
      <c r="D26" s="66"/>
      <c r="E26" s="13" t="s">
        <v>10</v>
      </c>
      <c r="F26" s="27"/>
      <c r="G26" s="36"/>
      <c r="H26" s="33">
        <v>30000</v>
      </c>
      <c r="I26" s="15">
        <v>30000</v>
      </c>
      <c r="J26" s="15">
        <v>30000</v>
      </c>
      <c r="K26" s="15">
        <v>30000</v>
      </c>
      <c r="L26" s="13">
        <v>30000</v>
      </c>
      <c r="M26" s="13">
        <v>30000</v>
      </c>
      <c r="N26" s="10">
        <v>15000</v>
      </c>
      <c r="O26" s="13">
        <v>30000</v>
      </c>
      <c r="P26" s="15">
        <v>40000</v>
      </c>
      <c r="Q26" s="59"/>
      <c r="R26" s="63">
        <v>40000</v>
      </c>
      <c r="S26" s="59"/>
      <c r="T26" s="67">
        <v>40000</v>
      </c>
      <c r="U26" s="37">
        <v>20000</v>
      </c>
      <c r="V26" s="116"/>
      <c r="W26" s="33">
        <v>40000</v>
      </c>
      <c r="X26" s="40">
        <v>50000</v>
      </c>
      <c r="Y26" s="22"/>
      <c r="Z26" s="118">
        <v>50000</v>
      </c>
      <c r="AA26" s="10"/>
      <c r="AB26" s="69">
        <v>60000</v>
      </c>
      <c r="AC26" s="10"/>
      <c r="AD26" s="119">
        <v>80000</v>
      </c>
      <c r="AE26" s="11"/>
      <c r="AF26" s="15">
        <v>90000</v>
      </c>
      <c r="AG26" s="10"/>
      <c r="AH26" s="120">
        <v>45000</v>
      </c>
      <c r="AI26" s="71">
        <v>100000</v>
      </c>
      <c r="AJ26" s="22"/>
      <c r="AK26" s="121">
        <v>100000</v>
      </c>
      <c r="AL26" s="8"/>
      <c r="AM26" s="71">
        <v>100000</v>
      </c>
      <c r="AN26" s="22"/>
      <c r="AO26" s="71">
        <v>100000</v>
      </c>
      <c r="AP26" s="71"/>
      <c r="AQ26" s="8"/>
      <c r="AR26" s="8"/>
      <c r="AS26" s="8"/>
    </row>
    <row r="27" spans="1:45" x14ac:dyDescent="0.25">
      <c r="A27" s="34"/>
      <c r="B27" s="27" t="s">
        <v>138</v>
      </c>
      <c r="C27" s="53" t="s">
        <v>139</v>
      </c>
      <c r="D27" s="29"/>
      <c r="E27" s="13" t="s">
        <v>140</v>
      </c>
      <c r="F27" s="27"/>
      <c r="G27" s="36"/>
      <c r="H27" s="33">
        <v>60000</v>
      </c>
      <c r="I27" s="15">
        <v>100000</v>
      </c>
      <c r="J27" s="13">
        <v>100000</v>
      </c>
      <c r="K27" s="15">
        <v>100000</v>
      </c>
      <c r="L27" s="13">
        <v>130000</v>
      </c>
      <c r="M27" s="56">
        <v>150000</v>
      </c>
      <c r="N27" s="10">
        <v>75000</v>
      </c>
      <c r="O27" s="58"/>
      <c r="P27" s="58"/>
      <c r="Q27" s="59"/>
      <c r="R27" s="59"/>
      <c r="S27" s="59"/>
      <c r="T27" s="60"/>
      <c r="U27" s="122">
        <v>80000</v>
      </c>
      <c r="V27" s="116"/>
      <c r="W27" s="39">
        <v>160000</v>
      </c>
      <c r="X27" s="89"/>
      <c r="Y27" s="107"/>
      <c r="Z27" s="89"/>
      <c r="AA27" s="89"/>
      <c r="AB27" s="48"/>
      <c r="AC27" s="48"/>
      <c r="AD27" s="48"/>
      <c r="AE27" s="107"/>
      <c r="AF27" s="89"/>
      <c r="AG27" s="107"/>
      <c r="AH27" s="48"/>
      <c r="AI27" s="107"/>
      <c r="AJ27" s="107"/>
      <c r="AK27" s="107"/>
      <c r="AL27" s="48"/>
      <c r="AM27" s="107"/>
      <c r="AN27" s="107"/>
      <c r="AO27" s="89"/>
      <c r="AP27" s="89"/>
      <c r="AQ27" s="48"/>
      <c r="AR27" s="48"/>
      <c r="AS27" s="48"/>
    </row>
    <row r="28" spans="1:45" x14ac:dyDescent="0.25">
      <c r="A28" s="34">
        <v>21</v>
      </c>
      <c r="B28" s="123">
        <v>85000</v>
      </c>
      <c r="C28" s="86" t="s">
        <v>141</v>
      </c>
      <c r="D28" s="87" t="s">
        <v>142</v>
      </c>
      <c r="E28" s="13" t="s">
        <v>112</v>
      </c>
      <c r="F28" s="27"/>
      <c r="G28" s="36"/>
      <c r="H28" s="29">
        <v>74000</v>
      </c>
      <c r="I28" s="13">
        <v>150000</v>
      </c>
      <c r="J28" s="13">
        <v>150000</v>
      </c>
      <c r="K28" s="15">
        <v>158750</v>
      </c>
      <c r="L28" s="13">
        <v>150000</v>
      </c>
      <c r="M28" s="13">
        <v>150000</v>
      </c>
      <c r="N28" s="13">
        <v>75000</v>
      </c>
      <c r="O28" s="56">
        <v>150000</v>
      </c>
      <c r="P28" s="13">
        <v>172000</v>
      </c>
      <c r="Q28" s="63">
        <v>170000</v>
      </c>
      <c r="R28" s="63">
        <v>194000</v>
      </c>
      <c r="S28" s="63">
        <v>182000</v>
      </c>
      <c r="T28" s="15">
        <v>177886</v>
      </c>
      <c r="U28" s="49">
        <v>77000</v>
      </c>
      <c r="V28" s="116"/>
      <c r="W28" s="39">
        <v>193500</v>
      </c>
      <c r="X28" s="40">
        <v>105000</v>
      </c>
      <c r="Y28" s="22"/>
      <c r="Z28" s="40">
        <v>95000</v>
      </c>
      <c r="AA28" s="10"/>
      <c r="AB28" s="15">
        <v>196300</v>
      </c>
      <c r="AC28" s="10"/>
      <c r="AD28" s="70">
        <v>217000</v>
      </c>
      <c r="AE28" s="11"/>
      <c r="AF28" s="15">
        <v>266000</v>
      </c>
      <c r="AG28" s="10"/>
      <c r="AH28" s="40">
        <v>116000</v>
      </c>
      <c r="AI28" s="105">
        <v>274000</v>
      </c>
      <c r="AJ28" s="22"/>
      <c r="AK28" s="105">
        <v>269000</v>
      </c>
      <c r="AL28" s="8"/>
      <c r="AM28" s="40">
        <v>269000</v>
      </c>
      <c r="AN28" s="22"/>
      <c r="AO28" s="40">
        <v>269000</v>
      </c>
      <c r="AP28" s="40"/>
      <c r="AQ28" s="8"/>
      <c r="AR28" s="8"/>
      <c r="AS28" s="8"/>
    </row>
    <row r="29" spans="1:45" x14ac:dyDescent="0.25">
      <c r="A29" s="34">
        <v>22</v>
      </c>
      <c r="B29" s="27">
        <v>107000</v>
      </c>
      <c r="C29" s="86" t="s">
        <v>143</v>
      </c>
      <c r="D29" s="29"/>
      <c r="E29" s="13" t="s">
        <v>144</v>
      </c>
      <c r="F29" s="27"/>
      <c r="G29" s="36"/>
      <c r="H29" s="29"/>
      <c r="I29" s="13"/>
      <c r="J29" s="13"/>
      <c r="K29" s="13"/>
      <c r="L29" s="13"/>
      <c r="M29" s="13"/>
      <c r="N29" s="13"/>
      <c r="O29" s="13"/>
      <c r="P29" s="13"/>
      <c r="Q29" s="13">
        <v>107000</v>
      </c>
      <c r="R29" s="15">
        <v>107000</v>
      </c>
      <c r="S29" s="15">
        <v>117000</v>
      </c>
      <c r="T29" s="10">
        <v>117000</v>
      </c>
      <c r="U29" s="37">
        <v>53500</v>
      </c>
      <c r="V29" s="116"/>
      <c r="W29" s="39">
        <v>121000</v>
      </c>
      <c r="X29" s="40">
        <v>136000</v>
      </c>
      <c r="Y29" s="22"/>
      <c r="Z29" s="40">
        <v>136000</v>
      </c>
      <c r="AA29" s="22"/>
      <c r="AB29" s="40">
        <v>145000</v>
      </c>
      <c r="AC29" s="22"/>
      <c r="AD29" s="41">
        <v>154000</v>
      </c>
      <c r="AE29" s="117"/>
      <c r="AF29" s="40">
        <v>163000</v>
      </c>
      <c r="AG29" s="22"/>
      <c r="AH29" s="40">
        <v>92000</v>
      </c>
      <c r="AI29" s="105">
        <v>171000</v>
      </c>
      <c r="AJ29" s="22"/>
      <c r="AK29" s="105">
        <v>171000</v>
      </c>
      <c r="AL29" s="8"/>
      <c r="AM29" s="40">
        <v>171000</v>
      </c>
      <c r="AN29" s="22"/>
      <c r="AO29" s="40">
        <v>171000</v>
      </c>
      <c r="AP29" s="40"/>
      <c r="AQ29" s="8"/>
      <c r="AR29" s="8"/>
      <c r="AS29" s="8"/>
    </row>
    <row r="30" spans="1:45" x14ac:dyDescent="0.25">
      <c r="A30" s="34">
        <v>23</v>
      </c>
      <c r="B30" s="27">
        <v>110000</v>
      </c>
      <c r="C30" s="35" t="s">
        <v>145</v>
      </c>
      <c r="D30" s="87"/>
      <c r="E30" s="13" t="s">
        <v>10</v>
      </c>
      <c r="F30" s="27"/>
      <c r="G30" s="36"/>
      <c r="H30" s="97">
        <v>50000</v>
      </c>
      <c r="I30" s="15">
        <v>100000</v>
      </c>
      <c r="J30" s="15">
        <v>100000</v>
      </c>
      <c r="K30" s="15">
        <v>100000</v>
      </c>
      <c r="L30" s="13">
        <v>100000</v>
      </c>
      <c r="M30" s="13">
        <v>100000</v>
      </c>
      <c r="N30" s="10">
        <v>50000</v>
      </c>
      <c r="O30" s="13">
        <v>100000</v>
      </c>
      <c r="P30" s="56">
        <v>110000</v>
      </c>
      <c r="Q30" s="15">
        <v>110000</v>
      </c>
      <c r="R30" s="15">
        <v>110000</v>
      </c>
      <c r="S30" s="15">
        <v>110000</v>
      </c>
      <c r="T30" s="15">
        <v>110000</v>
      </c>
      <c r="U30" s="37">
        <v>55000</v>
      </c>
      <c r="V30" s="116"/>
      <c r="W30" s="39">
        <v>110000</v>
      </c>
      <c r="X30" s="40">
        <v>110000</v>
      </c>
      <c r="Y30" s="22"/>
      <c r="Z30" s="118">
        <v>110000</v>
      </c>
      <c r="AA30" s="22"/>
      <c r="AB30" s="40">
        <v>130000</v>
      </c>
      <c r="AC30" s="22"/>
      <c r="AD30" s="41">
        <v>140000</v>
      </c>
      <c r="AE30" s="117"/>
      <c r="AF30" s="40">
        <v>150000</v>
      </c>
      <c r="AG30" s="22"/>
      <c r="AH30" s="40">
        <v>75000</v>
      </c>
      <c r="AI30" s="105">
        <f>(AF30*(1+0.1))</f>
        <v>165000</v>
      </c>
      <c r="AJ30" s="22"/>
      <c r="AK30" s="105">
        <v>165000</v>
      </c>
      <c r="AL30" s="8"/>
      <c r="AM30" s="40">
        <v>165000</v>
      </c>
      <c r="AN30" s="22"/>
      <c r="AO30" s="40">
        <v>165000</v>
      </c>
      <c r="AP30" s="40"/>
      <c r="AQ30" s="8"/>
      <c r="AR30" s="8"/>
      <c r="AS30" s="8"/>
    </row>
    <row r="31" spans="1:45" x14ac:dyDescent="0.25">
      <c r="A31" s="34">
        <v>24</v>
      </c>
      <c r="B31" s="27">
        <v>40000</v>
      </c>
      <c r="C31" s="65" t="s">
        <v>146</v>
      </c>
      <c r="D31" s="66"/>
      <c r="E31" s="13" t="s">
        <v>10</v>
      </c>
      <c r="F31" s="27"/>
      <c r="G31" s="36"/>
      <c r="H31" s="33">
        <v>30000</v>
      </c>
      <c r="I31" s="15">
        <v>30000</v>
      </c>
      <c r="J31" s="15">
        <v>30000</v>
      </c>
      <c r="K31" s="15">
        <v>30000</v>
      </c>
      <c r="L31" s="15">
        <v>30000</v>
      </c>
      <c r="M31" s="15">
        <v>30000</v>
      </c>
      <c r="N31" s="10">
        <v>15000</v>
      </c>
      <c r="O31" s="13">
        <v>30000</v>
      </c>
      <c r="P31" s="40">
        <v>40000</v>
      </c>
      <c r="Q31" s="59"/>
      <c r="R31" s="15">
        <v>40000</v>
      </c>
      <c r="S31" s="67">
        <v>40000</v>
      </c>
      <c r="T31" s="67">
        <v>40000</v>
      </c>
      <c r="U31" s="37">
        <v>20000</v>
      </c>
      <c r="V31" s="57"/>
      <c r="W31" s="33">
        <v>40000</v>
      </c>
      <c r="X31" s="40">
        <v>50000</v>
      </c>
      <c r="Y31" s="22"/>
      <c r="Z31" s="118">
        <v>50000</v>
      </c>
      <c r="AA31" s="10"/>
      <c r="AB31" s="69">
        <v>60000</v>
      </c>
      <c r="AC31" s="10"/>
      <c r="AD31" s="119">
        <v>80000</v>
      </c>
      <c r="AE31" s="11"/>
      <c r="AF31" s="15">
        <v>90000</v>
      </c>
      <c r="AG31" s="10"/>
      <c r="AH31" s="120">
        <v>45000</v>
      </c>
      <c r="AI31" s="71">
        <v>100000</v>
      </c>
      <c r="AJ31" s="22"/>
      <c r="AK31" s="121">
        <v>100000</v>
      </c>
      <c r="AL31" s="8"/>
      <c r="AM31" s="71">
        <v>100000</v>
      </c>
      <c r="AN31" s="22"/>
      <c r="AO31" s="71">
        <v>100000</v>
      </c>
      <c r="AP31" s="71"/>
      <c r="AQ31" s="8"/>
      <c r="AR31" s="8"/>
      <c r="AS31" s="8"/>
    </row>
    <row r="32" spans="1:45" x14ac:dyDescent="0.25">
      <c r="A32" s="34">
        <v>25</v>
      </c>
      <c r="B32" s="27">
        <v>85000</v>
      </c>
      <c r="C32" s="35" t="s">
        <v>147</v>
      </c>
      <c r="D32" s="66"/>
      <c r="E32" s="13" t="s">
        <v>10</v>
      </c>
      <c r="F32" s="27"/>
      <c r="G32" s="36"/>
      <c r="H32" s="29">
        <v>50000</v>
      </c>
      <c r="I32" s="13">
        <v>75000</v>
      </c>
      <c r="J32" s="13">
        <v>75000</v>
      </c>
      <c r="K32" s="15">
        <v>75000</v>
      </c>
      <c r="L32" s="13">
        <v>75000</v>
      </c>
      <c r="M32" s="13">
        <v>75000</v>
      </c>
      <c r="N32" s="10">
        <v>40000</v>
      </c>
      <c r="O32" s="13">
        <v>75000</v>
      </c>
      <c r="P32" s="13">
        <v>85000</v>
      </c>
      <c r="Q32" s="15">
        <v>85000</v>
      </c>
      <c r="R32" s="15">
        <v>85000</v>
      </c>
      <c r="S32" s="15">
        <v>85000</v>
      </c>
      <c r="T32" s="15">
        <v>165000</v>
      </c>
      <c r="U32" s="37">
        <v>42500</v>
      </c>
      <c r="V32" s="116"/>
      <c r="W32" s="39">
        <v>105000</v>
      </c>
      <c r="X32" s="40">
        <v>120000</v>
      </c>
      <c r="Y32" s="22"/>
      <c r="Z32" s="40">
        <v>105000</v>
      </c>
      <c r="AA32" s="22"/>
      <c r="AB32" s="40">
        <v>140000</v>
      </c>
      <c r="AC32" s="22"/>
      <c r="AD32" s="41">
        <v>150000</v>
      </c>
      <c r="AE32" s="117"/>
      <c r="AF32" s="40">
        <v>150000</v>
      </c>
      <c r="AG32" s="22">
        <v>60000</v>
      </c>
      <c r="AH32" s="40">
        <v>75000</v>
      </c>
      <c r="AI32" s="105">
        <v>175000</v>
      </c>
      <c r="AJ32" s="22"/>
      <c r="AK32" s="105">
        <v>175000</v>
      </c>
      <c r="AL32" s="105">
        <v>40000</v>
      </c>
      <c r="AM32" s="40">
        <v>175000</v>
      </c>
      <c r="AN32" s="22"/>
      <c r="AO32" s="40">
        <v>175000</v>
      </c>
      <c r="AP32" s="40"/>
      <c r="AQ32" s="8"/>
      <c r="AR32" s="8"/>
      <c r="AS32" s="8"/>
    </row>
    <row r="33" spans="1:45" x14ac:dyDescent="0.25">
      <c r="A33" s="34">
        <v>26</v>
      </c>
      <c r="B33" s="27">
        <v>210000</v>
      </c>
      <c r="C33" s="35" t="s">
        <v>148</v>
      </c>
      <c r="D33" s="87" t="s">
        <v>149</v>
      </c>
      <c r="E33" s="13" t="s">
        <v>10</v>
      </c>
      <c r="F33" s="27"/>
      <c r="G33" s="36"/>
      <c r="H33" s="29">
        <v>40000</v>
      </c>
      <c r="I33" s="13">
        <v>200000</v>
      </c>
      <c r="J33" s="13">
        <v>200000</v>
      </c>
      <c r="K33" s="15">
        <v>232500</v>
      </c>
      <c r="L33" s="13">
        <v>247500</v>
      </c>
      <c r="M33" s="13">
        <v>235225</v>
      </c>
      <c r="N33" s="13">
        <v>100000</v>
      </c>
      <c r="O33" s="13">
        <v>219000</v>
      </c>
      <c r="P33" s="13">
        <v>200000</v>
      </c>
      <c r="Q33" s="15">
        <v>200000</v>
      </c>
      <c r="R33" s="15">
        <v>200000</v>
      </c>
      <c r="S33" s="15">
        <v>195000</v>
      </c>
      <c r="T33" s="15">
        <v>220000</v>
      </c>
      <c r="U33" s="49">
        <v>105000</v>
      </c>
      <c r="V33" s="116"/>
      <c r="W33" s="39">
        <v>228000</v>
      </c>
      <c r="X33" s="40">
        <v>210000</v>
      </c>
      <c r="Y33" s="22"/>
      <c r="Z33" s="40">
        <v>210000</v>
      </c>
      <c r="AA33" s="22">
        <v>35000</v>
      </c>
      <c r="AB33" s="40">
        <v>230000</v>
      </c>
      <c r="AC33" s="22"/>
      <c r="AD33" s="41">
        <v>240000</v>
      </c>
      <c r="AE33" s="124">
        <v>22500</v>
      </c>
      <c r="AF33" s="40">
        <v>250000</v>
      </c>
      <c r="AG33" s="40">
        <v>90000</v>
      </c>
      <c r="AH33" s="40">
        <v>125000</v>
      </c>
      <c r="AI33" s="105">
        <v>300000</v>
      </c>
      <c r="AJ33" s="22"/>
      <c r="AK33" s="105">
        <v>300000</v>
      </c>
      <c r="AL33" s="105">
        <v>35000</v>
      </c>
      <c r="AM33" s="40">
        <v>300000</v>
      </c>
      <c r="AN33" s="40">
        <v>35000</v>
      </c>
      <c r="AO33" s="40">
        <v>300000</v>
      </c>
      <c r="AP33" s="22">
        <v>37500</v>
      </c>
      <c r="AQ33" s="8"/>
      <c r="AR33" s="8"/>
      <c r="AS33" s="8"/>
    </row>
    <row r="34" spans="1:45" x14ac:dyDescent="0.25">
      <c r="A34" s="34">
        <v>27</v>
      </c>
      <c r="B34" s="27">
        <v>160000</v>
      </c>
      <c r="C34" s="86" t="s">
        <v>150</v>
      </c>
      <c r="D34" s="29" t="s">
        <v>151</v>
      </c>
      <c r="E34" s="13" t="s">
        <v>10</v>
      </c>
      <c r="F34" s="27"/>
      <c r="G34" s="36"/>
      <c r="H34" s="29"/>
      <c r="I34" s="13"/>
      <c r="J34" s="13">
        <v>50000</v>
      </c>
      <c r="K34" s="15">
        <v>83750</v>
      </c>
      <c r="L34" s="13">
        <v>65000</v>
      </c>
      <c r="M34" s="13">
        <v>150000</v>
      </c>
      <c r="N34" s="13">
        <v>75000</v>
      </c>
      <c r="O34" s="13">
        <v>150000</v>
      </c>
      <c r="P34" s="13">
        <v>160000</v>
      </c>
      <c r="Q34" s="15">
        <v>152500</v>
      </c>
      <c r="R34" s="15">
        <v>160000</v>
      </c>
      <c r="S34" s="15">
        <v>160000</v>
      </c>
      <c r="T34" s="15">
        <v>160000</v>
      </c>
      <c r="U34" s="49">
        <v>80000</v>
      </c>
      <c r="V34" s="116"/>
      <c r="W34" s="39">
        <v>130000</v>
      </c>
      <c r="X34" s="40">
        <v>200000</v>
      </c>
      <c r="Y34" s="22"/>
      <c r="Z34" s="40">
        <v>200000</v>
      </c>
      <c r="AA34" s="22"/>
      <c r="AB34" s="40">
        <v>200000</v>
      </c>
      <c r="AC34" s="22"/>
      <c r="AD34" s="41">
        <v>218000</v>
      </c>
      <c r="AE34" s="124">
        <v>22500</v>
      </c>
      <c r="AF34" s="40">
        <v>227000</v>
      </c>
      <c r="AG34" s="22">
        <v>75000</v>
      </c>
      <c r="AH34" s="40">
        <v>139000</v>
      </c>
      <c r="AI34" s="105">
        <v>236000</v>
      </c>
      <c r="AJ34" s="22"/>
      <c r="AK34" s="105">
        <v>261000</v>
      </c>
      <c r="AL34" s="105"/>
      <c r="AM34" s="40">
        <v>261000</v>
      </c>
      <c r="AN34" s="22"/>
      <c r="AO34" s="40">
        <v>261000</v>
      </c>
      <c r="AP34" s="22">
        <v>52500</v>
      </c>
      <c r="AQ34" s="8"/>
      <c r="AR34" s="8"/>
      <c r="AS34" s="8"/>
    </row>
    <row r="35" spans="1:45" x14ac:dyDescent="0.25">
      <c r="A35" s="34">
        <v>28</v>
      </c>
      <c r="B35" s="27">
        <v>265000</v>
      </c>
      <c r="C35" s="35" t="s">
        <v>152</v>
      </c>
      <c r="D35" s="29"/>
      <c r="E35" s="13" t="s">
        <v>10</v>
      </c>
      <c r="F35" s="27"/>
      <c r="G35" s="36"/>
      <c r="H35" s="29"/>
      <c r="I35" s="13"/>
      <c r="J35" s="13">
        <v>50000</v>
      </c>
      <c r="K35" s="15">
        <v>143750</v>
      </c>
      <c r="L35" s="13">
        <v>157500</v>
      </c>
      <c r="M35" s="13">
        <v>185000</v>
      </c>
      <c r="N35" s="13">
        <v>75000</v>
      </c>
      <c r="O35" s="13">
        <v>169000</v>
      </c>
      <c r="P35" s="13">
        <v>160000</v>
      </c>
      <c r="Q35" s="15">
        <v>160000</v>
      </c>
      <c r="R35" s="15">
        <v>160000</v>
      </c>
      <c r="S35" s="15">
        <v>180000</v>
      </c>
      <c r="T35" s="15">
        <v>195000</v>
      </c>
      <c r="U35" s="49">
        <v>80000</v>
      </c>
      <c r="V35" s="116"/>
      <c r="W35" s="39">
        <v>160000</v>
      </c>
      <c r="X35" s="40">
        <v>160000</v>
      </c>
      <c r="Y35" s="22">
        <v>50000</v>
      </c>
      <c r="Z35" s="40">
        <v>160000</v>
      </c>
      <c r="AA35" s="22">
        <v>35000</v>
      </c>
      <c r="AB35" s="40">
        <v>180000</v>
      </c>
      <c r="AC35" s="22"/>
      <c r="AD35" s="41">
        <v>190000</v>
      </c>
      <c r="AE35" s="124">
        <v>20000</v>
      </c>
      <c r="AF35" s="40">
        <v>200000</v>
      </c>
      <c r="AG35" s="22">
        <v>75000</v>
      </c>
      <c r="AH35" s="40">
        <v>100000</v>
      </c>
      <c r="AI35" s="105">
        <v>250000</v>
      </c>
      <c r="AJ35" s="22"/>
      <c r="AK35" s="105">
        <v>250000</v>
      </c>
      <c r="AL35" s="105">
        <v>35000</v>
      </c>
      <c r="AM35" s="40">
        <v>250000</v>
      </c>
      <c r="AN35" s="22"/>
      <c r="AO35" s="40">
        <v>265000</v>
      </c>
      <c r="AP35" s="40"/>
      <c r="AQ35" s="8"/>
      <c r="AR35" s="8"/>
      <c r="AS35" s="8"/>
    </row>
    <row r="36" spans="1:45" x14ac:dyDescent="0.25">
      <c r="A36" s="34"/>
      <c r="B36" s="27">
        <v>60000</v>
      </c>
      <c r="C36" s="53" t="s">
        <v>153</v>
      </c>
      <c r="D36" s="29"/>
      <c r="E36" s="13" t="s">
        <v>10</v>
      </c>
      <c r="F36" s="27"/>
      <c r="G36" s="36"/>
      <c r="H36" s="29"/>
      <c r="I36" s="13"/>
      <c r="J36" s="13"/>
      <c r="K36" s="13">
        <v>60000</v>
      </c>
      <c r="L36" s="13">
        <v>60000</v>
      </c>
      <c r="M36" s="13">
        <v>60000</v>
      </c>
      <c r="N36" s="13">
        <v>60000</v>
      </c>
      <c r="O36" s="13">
        <v>60000</v>
      </c>
      <c r="P36" s="13">
        <v>60000</v>
      </c>
      <c r="Q36" s="15">
        <v>60000</v>
      </c>
      <c r="R36" s="15"/>
      <c r="S36" s="15"/>
      <c r="T36" s="15">
        <v>60000</v>
      </c>
      <c r="U36" s="37"/>
      <c r="V36" s="116"/>
      <c r="W36" s="106"/>
      <c r="X36" s="125">
        <v>75000</v>
      </c>
      <c r="Y36" s="126"/>
      <c r="Z36" s="125">
        <v>75000</v>
      </c>
      <c r="AA36" s="126"/>
      <c r="AB36" s="126">
        <v>85000</v>
      </c>
      <c r="AC36" s="107"/>
      <c r="AD36" s="127" t="s">
        <v>154</v>
      </c>
      <c r="AE36" s="128"/>
      <c r="AF36" s="129"/>
      <c r="AG36" s="130"/>
      <c r="AH36" s="128"/>
      <c r="AI36" s="130"/>
      <c r="AJ36" s="130"/>
      <c r="AK36" s="130"/>
      <c r="AL36" s="128"/>
      <c r="AM36" s="129"/>
      <c r="AN36" s="130"/>
      <c r="AO36" s="131"/>
      <c r="AP36" s="131"/>
      <c r="AQ36" s="128"/>
      <c r="AR36" s="128"/>
      <c r="AS36" s="132"/>
    </row>
    <row r="37" spans="1:45" x14ac:dyDescent="0.25">
      <c r="A37" s="34">
        <v>29</v>
      </c>
      <c r="B37" s="27">
        <v>160000</v>
      </c>
      <c r="C37" s="35" t="s">
        <v>155</v>
      </c>
      <c r="D37" s="87"/>
      <c r="E37" s="13" t="s">
        <v>10</v>
      </c>
      <c r="F37" s="27"/>
      <c r="G37" s="36"/>
      <c r="H37" s="29">
        <v>90000</v>
      </c>
      <c r="I37" s="13">
        <v>150000</v>
      </c>
      <c r="J37" s="13">
        <v>150000</v>
      </c>
      <c r="K37" s="15">
        <v>150000</v>
      </c>
      <c r="L37" s="13">
        <v>150000</v>
      </c>
      <c r="M37" s="13">
        <v>150000</v>
      </c>
      <c r="N37" s="13">
        <v>75000</v>
      </c>
      <c r="O37" s="13">
        <v>150000</v>
      </c>
      <c r="P37" s="13">
        <v>160000</v>
      </c>
      <c r="Q37" s="15">
        <v>160000</v>
      </c>
      <c r="R37" s="15">
        <v>160000</v>
      </c>
      <c r="S37" s="15">
        <v>160000</v>
      </c>
      <c r="T37" s="15">
        <v>180000</v>
      </c>
      <c r="U37" s="49">
        <v>80000</v>
      </c>
      <c r="V37" s="116"/>
      <c r="W37" s="39">
        <v>170000</v>
      </c>
      <c r="X37" s="40">
        <v>160000</v>
      </c>
      <c r="Y37" s="22">
        <v>24000</v>
      </c>
      <c r="Z37" s="40">
        <v>160000</v>
      </c>
      <c r="AA37" s="22">
        <v>10000</v>
      </c>
      <c r="AB37" s="40">
        <v>180000</v>
      </c>
      <c r="AC37" s="22"/>
      <c r="AD37" s="41">
        <v>190000</v>
      </c>
      <c r="AE37" s="124">
        <v>20000</v>
      </c>
      <c r="AF37" s="40">
        <v>200000</v>
      </c>
      <c r="AG37" s="22">
        <v>40000</v>
      </c>
      <c r="AH37" s="40">
        <v>100000</v>
      </c>
      <c r="AI37" s="105">
        <f>(AF37*(1+0.1))</f>
        <v>220000.00000000003</v>
      </c>
      <c r="AJ37" s="40">
        <v>80000</v>
      </c>
      <c r="AK37" s="40">
        <v>250000</v>
      </c>
      <c r="AL37" s="105">
        <v>110250</v>
      </c>
      <c r="AM37" s="40">
        <v>250000</v>
      </c>
      <c r="AN37" s="40">
        <v>73500</v>
      </c>
      <c r="AO37" s="105">
        <v>250000</v>
      </c>
      <c r="AP37" s="22">
        <v>82250</v>
      </c>
      <c r="AQ37" s="8"/>
      <c r="AR37" s="8"/>
      <c r="AS37" s="8"/>
    </row>
    <row r="38" spans="1:45" x14ac:dyDescent="0.25">
      <c r="A38" s="34">
        <v>30</v>
      </c>
      <c r="B38" s="27">
        <v>613000</v>
      </c>
      <c r="C38" s="86" t="s">
        <v>74</v>
      </c>
      <c r="D38" s="90"/>
      <c r="E38" s="13" t="s">
        <v>156</v>
      </c>
      <c r="F38" s="27"/>
      <c r="G38" s="36"/>
      <c r="H38" s="29">
        <v>100000</v>
      </c>
      <c r="I38" s="13">
        <v>300000</v>
      </c>
      <c r="J38" s="13">
        <v>300000</v>
      </c>
      <c r="K38" s="15">
        <v>300000</v>
      </c>
      <c r="L38" s="13"/>
      <c r="M38" s="13">
        <v>500000</v>
      </c>
      <c r="N38" s="13"/>
      <c r="O38" s="13">
        <v>500000</v>
      </c>
      <c r="P38" s="13">
        <v>613000</v>
      </c>
      <c r="Q38" s="15">
        <v>613000</v>
      </c>
      <c r="R38" s="15">
        <v>613000</v>
      </c>
      <c r="S38" s="15">
        <v>623000</v>
      </c>
      <c r="T38" s="63">
        <v>623000</v>
      </c>
      <c r="U38" s="49">
        <v>315000</v>
      </c>
      <c r="V38" s="116"/>
      <c r="W38" s="39">
        <v>623000</v>
      </c>
      <c r="X38" s="40">
        <v>622000</v>
      </c>
      <c r="Y38" s="22"/>
      <c r="Z38" s="40">
        <v>622000</v>
      </c>
      <c r="AA38" s="22"/>
      <c r="AB38" s="40">
        <v>735000</v>
      </c>
      <c r="AC38" s="22"/>
      <c r="AD38" s="41">
        <v>735000</v>
      </c>
      <c r="AE38" s="117"/>
      <c r="AF38" s="40">
        <v>796000</v>
      </c>
      <c r="AG38" s="40" t="s">
        <v>157</v>
      </c>
      <c r="AH38" s="40">
        <v>441000</v>
      </c>
      <c r="AI38" s="105">
        <v>857000</v>
      </c>
      <c r="AJ38" s="22"/>
      <c r="AK38" s="40">
        <v>857000</v>
      </c>
      <c r="AL38" s="71"/>
      <c r="AM38" s="40">
        <v>857000</v>
      </c>
      <c r="AN38" s="133" t="s">
        <v>158</v>
      </c>
      <c r="AO38" s="105">
        <v>857000</v>
      </c>
      <c r="AP38" s="105"/>
      <c r="AQ38" s="8"/>
      <c r="AR38" s="8"/>
      <c r="AS38" s="8"/>
    </row>
    <row r="39" spans="1:45" x14ac:dyDescent="0.25">
      <c r="A39" s="34"/>
      <c r="B39" s="27">
        <v>165000</v>
      </c>
      <c r="C39" s="35" t="s">
        <v>159</v>
      </c>
      <c r="D39" s="90"/>
      <c r="E39" s="13"/>
      <c r="F39" s="27"/>
      <c r="G39" s="36"/>
      <c r="H39" s="29"/>
      <c r="I39" s="13"/>
      <c r="J39" s="13"/>
      <c r="K39" s="15"/>
      <c r="L39" s="13"/>
      <c r="M39" s="13"/>
      <c r="N39" s="13"/>
      <c r="O39" s="13"/>
      <c r="P39" s="13"/>
      <c r="Q39" s="15"/>
      <c r="R39" s="15"/>
      <c r="S39" s="15"/>
      <c r="T39" s="63"/>
      <c r="U39" s="49"/>
      <c r="V39" s="116"/>
      <c r="W39" s="39"/>
      <c r="X39" s="40"/>
      <c r="Y39" s="22"/>
      <c r="Z39" s="40"/>
      <c r="AA39" s="22"/>
      <c r="AB39" s="40"/>
      <c r="AC39" s="22"/>
      <c r="AD39" s="41"/>
      <c r="AE39" s="117"/>
      <c r="AF39" s="40"/>
      <c r="AG39" s="40"/>
      <c r="AH39" s="40"/>
      <c r="AI39" s="105"/>
      <c r="AJ39" s="22"/>
      <c r="AK39" s="40"/>
      <c r="AL39" s="71"/>
      <c r="AM39" s="40">
        <v>165000</v>
      </c>
      <c r="AN39" s="22"/>
      <c r="AO39" s="105">
        <v>165000</v>
      </c>
      <c r="AP39" s="105"/>
      <c r="AQ39" s="8"/>
      <c r="AR39" s="8"/>
      <c r="AS39" s="8"/>
    </row>
    <row r="40" spans="1:45" x14ac:dyDescent="0.25">
      <c r="A40" s="34">
        <v>31</v>
      </c>
      <c r="B40" s="27">
        <v>400000</v>
      </c>
      <c r="C40" s="44" t="s">
        <v>160</v>
      </c>
      <c r="D40" s="134"/>
      <c r="E40" s="119"/>
      <c r="F40" s="135"/>
      <c r="G40" s="136"/>
      <c r="H40" s="134"/>
      <c r="I40" s="119"/>
      <c r="J40" s="119"/>
      <c r="K40" s="119"/>
      <c r="L40" s="119"/>
      <c r="M40" s="119"/>
      <c r="N40" s="119">
        <v>200000</v>
      </c>
      <c r="O40" s="119">
        <v>300000</v>
      </c>
      <c r="P40" s="119">
        <v>400000</v>
      </c>
      <c r="Q40" s="119">
        <v>400000</v>
      </c>
      <c r="R40" s="137">
        <v>400000</v>
      </c>
      <c r="S40" s="137">
        <v>400000</v>
      </c>
      <c r="T40" s="119">
        <v>400000</v>
      </c>
      <c r="U40" s="138">
        <v>200000</v>
      </c>
      <c r="V40" s="139"/>
      <c r="W40" s="140">
        <v>400000</v>
      </c>
      <c r="X40" s="141">
        <v>400000</v>
      </c>
      <c r="Y40" s="141"/>
      <c r="Z40" s="141">
        <v>400000</v>
      </c>
      <c r="AA40" s="141"/>
      <c r="AB40" s="141">
        <v>450000</v>
      </c>
      <c r="AC40" s="141"/>
      <c r="AD40" s="141">
        <v>500000</v>
      </c>
      <c r="AE40" s="117"/>
      <c r="AF40" s="40">
        <v>500000</v>
      </c>
      <c r="AG40" s="22"/>
      <c r="AH40" s="120">
        <v>250000</v>
      </c>
      <c r="AI40" s="71">
        <v>500000</v>
      </c>
      <c r="AJ40" s="22"/>
      <c r="AK40" s="40">
        <v>500000</v>
      </c>
      <c r="AL40" s="8"/>
      <c r="AM40" s="71">
        <v>500000</v>
      </c>
      <c r="AN40" s="22"/>
      <c r="AO40" s="40">
        <v>500000</v>
      </c>
      <c r="AP40" s="40"/>
      <c r="AQ40" s="8"/>
      <c r="AR40" s="8"/>
      <c r="AS40" s="8"/>
    </row>
    <row r="41" spans="1:45" x14ac:dyDescent="0.25">
      <c r="A41" s="34">
        <v>32</v>
      </c>
      <c r="B41" s="27">
        <v>107000</v>
      </c>
      <c r="C41" s="86" t="s">
        <v>161</v>
      </c>
      <c r="D41" s="33" t="s">
        <v>162</v>
      </c>
      <c r="E41" s="15" t="s">
        <v>144</v>
      </c>
      <c r="F41" s="142"/>
      <c r="G41" s="143"/>
      <c r="H41" s="33"/>
      <c r="I41" s="15"/>
      <c r="J41" s="144"/>
      <c r="K41" s="144"/>
      <c r="L41" s="144"/>
      <c r="M41" s="144"/>
      <c r="N41" s="144"/>
      <c r="O41" s="144"/>
      <c r="P41" s="15">
        <v>107000</v>
      </c>
      <c r="Q41" s="63">
        <v>107000</v>
      </c>
      <c r="R41" s="63">
        <v>107000</v>
      </c>
      <c r="S41" s="15">
        <v>117000</v>
      </c>
      <c r="T41" s="15">
        <v>117000</v>
      </c>
      <c r="U41" s="49">
        <v>61000</v>
      </c>
      <c r="V41" s="145"/>
      <c r="W41" s="39">
        <v>121000</v>
      </c>
      <c r="X41" s="40">
        <v>136000</v>
      </c>
      <c r="Y41" s="40"/>
      <c r="Z41" s="40">
        <v>136000</v>
      </c>
      <c r="AA41" s="22"/>
      <c r="AB41" s="40">
        <v>145000</v>
      </c>
      <c r="AC41" s="22"/>
      <c r="AD41" s="41">
        <v>154000</v>
      </c>
      <c r="AE41" s="117"/>
      <c r="AF41" s="40">
        <v>163000</v>
      </c>
      <c r="AG41" s="22"/>
      <c r="AH41" s="40">
        <v>92000</v>
      </c>
      <c r="AI41" s="105">
        <v>171000</v>
      </c>
      <c r="AJ41" s="22"/>
      <c r="AK41" s="40">
        <v>171000</v>
      </c>
      <c r="AL41" s="8"/>
      <c r="AM41" s="40">
        <v>171000</v>
      </c>
      <c r="AN41" s="22"/>
      <c r="AO41" s="40">
        <v>171000</v>
      </c>
      <c r="AP41" s="40"/>
      <c r="AQ41" s="8"/>
      <c r="AR41" s="8"/>
      <c r="AS41" s="8"/>
    </row>
    <row r="42" spans="1:45" x14ac:dyDescent="0.25">
      <c r="A42" s="34">
        <v>33</v>
      </c>
      <c r="B42" s="27">
        <v>845000</v>
      </c>
      <c r="C42" s="86" t="s">
        <v>163</v>
      </c>
      <c r="D42" s="29"/>
      <c r="E42" s="13" t="s">
        <v>144</v>
      </c>
      <c r="F42" s="27"/>
      <c r="G42" s="36"/>
      <c r="H42" s="29"/>
      <c r="I42" s="13"/>
      <c r="J42" s="13"/>
      <c r="K42" s="13"/>
      <c r="L42" s="13"/>
      <c r="M42" s="13"/>
      <c r="N42" s="13"/>
      <c r="O42" s="13"/>
      <c r="P42" s="13">
        <v>845000</v>
      </c>
      <c r="Q42" s="15">
        <v>845000</v>
      </c>
      <c r="R42" s="15">
        <v>845000</v>
      </c>
      <c r="S42" s="15">
        <v>855000</v>
      </c>
      <c r="T42" s="10"/>
      <c r="U42" s="37"/>
      <c r="V42" s="116"/>
      <c r="W42" s="39"/>
      <c r="X42" s="40">
        <v>854000</v>
      </c>
      <c r="Y42" s="22"/>
      <c r="Z42" s="40">
        <v>854000</v>
      </c>
      <c r="AA42" s="22"/>
      <c r="AB42" s="22">
        <v>880000</v>
      </c>
      <c r="AC42" s="22"/>
      <c r="AD42" s="40">
        <v>890000</v>
      </c>
      <c r="AE42" s="22"/>
      <c r="AF42" s="22">
        <v>1040000</v>
      </c>
      <c r="AG42" s="22"/>
      <c r="AH42" s="71">
        <v>727000</v>
      </c>
      <c r="AI42" s="40">
        <v>1105000</v>
      </c>
      <c r="AJ42" s="22"/>
      <c r="AK42" s="40">
        <v>1105000</v>
      </c>
      <c r="AL42" s="8"/>
      <c r="AM42" s="40">
        <v>1105000</v>
      </c>
      <c r="AN42" s="22"/>
      <c r="AO42" s="22">
        <v>1105000</v>
      </c>
      <c r="AP42" s="22"/>
      <c r="AQ42" s="8"/>
      <c r="AR42" s="8"/>
      <c r="AS42" s="8"/>
    </row>
    <row r="43" spans="1:45" x14ac:dyDescent="0.25">
      <c r="A43" s="34"/>
      <c r="B43" s="27"/>
      <c r="C43" s="35" t="s">
        <v>164</v>
      </c>
      <c r="D43" s="29"/>
      <c r="E43" s="13"/>
      <c r="F43" s="27"/>
      <c r="G43" s="36"/>
      <c r="H43" s="29"/>
      <c r="I43" s="13"/>
      <c r="J43" s="13"/>
      <c r="K43" s="13"/>
      <c r="L43" s="13"/>
      <c r="M43" s="13"/>
      <c r="N43" s="13"/>
      <c r="O43" s="13"/>
      <c r="P43" s="13"/>
      <c r="Q43" s="15"/>
      <c r="R43" s="15"/>
      <c r="S43" s="15"/>
      <c r="T43" s="10"/>
      <c r="U43" s="37"/>
      <c r="V43" s="116"/>
      <c r="W43" s="39"/>
      <c r="X43" s="40"/>
      <c r="Y43" s="22"/>
      <c r="Z43" s="40"/>
      <c r="AA43" s="22"/>
      <c r="AB43" s="22"/>
      <c r="AC43" s="22"/>
      <c r="AD43" s="40"/>
      <c r="AE43" s="22"/>
      <c r="AF43" s="22"/>
      <c r="AG43" s="22"/>
      <c r="AH43" s="71"/>
      <c r="AI43" s="40"/>
      <c r="AJ43" s="22"/>
      <c r="AK43" s="40">
        <v>222493.92</v>
      </c>
      <c r="AL43" s="8"/>
      <c r="AM43" s="40">
        <v>222493.92</v>
      </c>
      <c r="AN43" s="22"/>
      <c r="AO43" s="22">
        <v>222493.92</v>
      </c>
      <c r="AP43" s="22"/>
      <c r="AQ43" s="8"/>
      <c r="AR43" s="8"/>
      <c r="AS43" s="8"/>
    </row>
    <row r="44" spans="1:45" x14ac:dyDescent="0.25">
      <c r="A44" s="34">
        <v>34</v>
      </c>
      <c r="B44" s="27">
        <v>165000</v>
      </c>
      <c r="C44" s="35" t="s">
        <v>165</v>
      </c>
      <c r="D44" s="29"/>
      <c r="E44" s="13"/>
      <c r="F44" s="27"/>
      <c r="G44" s="36"/>
      <c r="H44" s="29"/>
      <c r="I44" s="13"/>
      <c r="J44" s="13"/>
      <c r="K44" s="13"/>
      <c r="L44" s="13"/>
      <c r="M44" s="13"/>
      <c r="N44" s="13"/>
      <c r="O44" s="13"/>
      <c r="P44" s="13"/>
      <c r="Q44" s="15"/>
      <c r="R44" s="15"/>
      <c r="S44" s="15"/>
      <c r="T44" s="10"/>
      <c r="U44" s="37"/>
      <c r="V44" s="116"/>
      <c r="W44" s="39"/>
      <c r="X44" s="40"/>
      <c r="Y44" s="22"/>
      <c r="Z44" s="40"/>
      <c r="AA44" s="22"/>
      <c r="AB44" s="22"/>
      <c r="AC44" s="22"/>
      <c r="AD44" s="40"/>
      <c r="AE44" s="22"/>
      <c r="AF44" s="22"/>
      <c r="AG44" s="22"/>
      <c r="AH44" s="71"/>
      <c r="AI44" s="40"/>
      <c r="AJ44" s="22"/>
      <c r="AK44" s="40"/>
      <c r="AL44" s="8"/>
      <c r="AM44" s="40"/>
      <c r="AN44" s="22"/>
      <c r="AO44" s="40">
        <v>82500</v>
      </c>
      <c r="AP44" s="40"/>
      <c r="AQ44" s="8"/>
      <c r="AR44" s="8"/>
      <c r="AS44" s="8"/>
    </row>
    <row r="45" spans="1:45" x14ac:dyDescent="0.25">
      <c r="A45" s="34">
        <v>35</v>
      </c>
      <c r="B45" s="27">
        <v>40000</v>
      </c>
      <c r="C45" s="65" t="s">
        <v>166</v>
      </c>
      <c r="D45" s="29"/>
      <c r="E45" s="13" t="s">
        <v>10</v>
      </c>
      <c r="F45" s="27"/>
      <c r="G45" s="36"/>
      <c r="H45" s="29"/>
      <c r="I45" s="13"/>
      <c r="J45" s="12"/>
      <c r="K45" s="12"/>
      <c r="L45" s="12"/>
      <c r="M45" s="20">
        <v>90000</v>
      </c>
      <c r="N45" s="10">
        <v>15000</v>
      </c>
      <c r="O45" s="13">
        <v>120000</v>
      </c>
      <c r="P45" s="15">
        <v>40000</v>
      </c>
      <c r="Q45" s="15">
        <v>40000</v>
      </c>
      <c r="R45" s="15">
        <v>40000</v>
      </c>
      <c r="S45" s="15">
        <v>40000</v>
      </c>
      <c r="T45" s="15">
        <v>40000</v>
      </c>
      <c r="U45" s="37">
        <v>20000</v>
      </c>
      <c r="V45" s="116"/>
      <c r="W45" s="33">
        <v>40000</v>
      </c>
      <c r="X45" s="40">
        <v>50000</v>
      </c>
      <c r="Y45" s="22"/>
      <c r="Z45" s="118">
        <v>50000</v>
      </c>
      <c r="AA45" s="10"/>
      <c r="AB45" s="69">
        <v>60000</v>
      </c>
      <c r="AC45" s="10"/>
      <c r="AD45" s="119">
        <v>80000</v>
      </c>
      <c r="AE45" s="11"/>
      <c r="AF45" s="15">
        <v>90000</v>
      </c>
      <c r="AG45" s="10"/>
      <c r="AH45" s="120">
        <v>45000</v>
      </c>
      <c r="AI45" s="71">
        <v>100000</v>
      </c>
      <c r="AJ45" s="22"/>
      <c r="AK45" s="121">
        <v>100000</v>
      </c>
      <c r="AL45" s="8"/>
      <c r="AM45" s="71">
        <v>100000</v>
      </c>
      <c r="AN45" s="22"/>
      <c r="AO45" s="71">
        <v>100000</v>
      </c>
      <c r="AP45" s="71"/>
      <c r="AQ45" s="8"/>
      <c r="AR45" s="8"/>
      <c r="AS45" s="8"/>
    </row>
    <row r="46" spans="1:45" x14ac:dyDescent="0.25">
      <c r="A46" s="34">
        <v>36</v>
      </c>
      <c r="B46" s="27">
        <v>40000</v>
      </c>
      <c r="C46" s="65" t="s">
        <v>65</v>
      </c>
      <c r="D46" s="66"/>
      <c r="E46" s="13" t="s">
        <v>10</v>
      </c>
      <c r="F46" s="27"/>
      <c r="G46" s="36"/>
      <c r="H46" s="29">
        <v>50000</v>
      </c>
      <c r="I46" s="13">
        <v>50000</v>
      </c>
      <c r="J46" s="13">
        <v>50000</v>
      </c>
      <c r="K46" s="15">
        <v>50000</v>
      </c>
      <c r="L46" s="13">
        <v>50000</v>
      </c>
      <c r="M46" s="56">
        <v>50000</v>
      </c>
      <c r="N46" s="13"/>
      <c r="O46" s="56">
        <v>50000</v>
      </c>
      <c r="P46" s="63">
        <v>50000</v>
      </c>
      <c r="Q46" s="15">
        <v>50000</v>
      </c>
      <c r="R46" s="15">
        <v>50000</v>
      </c>
      <c r="S46" s="15">
        <v>50000</v>
      </c>
      <c r="T46" s="15">
        <v>50000</v>
      </c>
      <c r="U46" s="37"/>
      <c r="V46" s="116"/>
      <c r="W46" s="39">
        <v>50000</v>
      </c>
      <c r="X46" s="40">
        <v>50000</v>
      </c>
      <c r="Y46" s="22"/>
      <c r="Z46" s="40">
        <v>80000</v>
      </c>
      <c r="AA46" s="22"/>
      <c r="AB46" s="40">
        <v>80000</v>
      </c>
      <c r="AC46" s="40"/>
      <c r="AD46" s="40">
        <v>80000</v>
      </c>
      <c r="AE46" s="22"/>
      <c r="AF46" s="40">
        <v>90000</v>
      </c>
      <c r="AG46" s="22"/>
      <c r="AH46" s="120">
        <v>45000</v>
      </c>
      <c r="AI46" s="71">
        <v>100000</v>
      </c>
      <c r="AJ46" s="22"/>
      <c r="AK46" s="121">
        <v>100000</v>
      </c>
      <c r="AL46" s="8"/>
      <c r="AM46" s="71">
        <v>100000</v>
      </c>
      <c r="AN46" s="22"/>
      <c r="AO46" s="71">
        <v>100000</v>
      </c>
      <c r="AP46" s="71"/>
      <c r="AQ46" s="8"/>
      <c r="AR46" s="8"/>
      <c r="AS46" s="8"/>
    </row>
    <row r="47" spans="1:45" x14ac:dyDescent="0.25">
      <c r="A47" s="34">
        <v>37</v>
      </c>
      <c r="B47" s="27">
        <v>85000</v>
      </c>
      <c r="C47" s="35" t="s">
        <v>167</v>
      </c>
      <c r="D47" s="87"/>
      <c r="E47" s="13" t="s">
        <v>10</v>
      </c>
      <c r="F47" s="27"/>
      <c r="G47" s="36"/>
      <c r="H47" s="29">
        <v>50000</v>
      </c>
      <c r="I47" s="13">
        <v>75000</v>
      </c>
      <c r="J47" s="13">
        <v>75000</v>
      </c>
      <c r="K47" s="15">
        <v>75000</v>
      </c>
      <c r="L47" s="13">
        <v>75000</v>
      </c>
      <c r="M47" s="13">
        <v>75000</v>
      </c>
      <c r="N47" s="13">
        <v>40000</v>
      </c>
      <c r="O47" s="13">
        <v>75000</v>
      </c>
      <c r="P47" s="13">
        <v>85000</v>
      </c>
      <c r="Q47" s="15">
        <v>85000</v>
      </c>
      <c r="R47" s="63">
        <v>85000</v>
      </c>
      <c r="S47" s="63">
        <v>85000</v>
      </c>
      <c r="T47" s="15">
        <v>85000</v>
      </c>
      <c r="U47" s="37">
        <v>42500</v>
      </c>
      <c r="V47" s="116"/>
      <c r="W47" s="39">
        <v>85000</v>
      </c>
      <c r="X47" s="40">
        <v>95000</v>
      </c>
      <c r="Y47" s="22"/>
      <c r="Z47" s="40">
        <v>95000</v>
      </c>
      <c r="AA47" s="22"/>
      <c r="AB47" s="40">
        <v>120000</v>
      </c>
      <c r="AC47" s="22"/>
      <c r="AD47" s="41">
        <v>130000</v>
      </c>
      <c r="AE47" s="117"/>
      <c r="AF47" s="40">
        <v>150000</v>
      </c>
      <c r="AG47" s="22"/>
      <c r="AH47" s="40">
        <v>75000</v>
      </c>
      <c r="AI47" s="105">
        <f>(AF47*(1+0.1))</f>
        <v>165000</v>
      </c>
      <c r="AJ47" s="22"/>
      <c r="AK47" s="40">
        <v>165000</v>
      </c>
      <c r="AL47" s="8"/>
      <c r="AM47" s="40">
        <v>165000</v>
      </c>
      <c r="AN47" s="22"/>
      <c r="AO47" s="40">
        <v>165000</v>
      </c>
      <c r="AP47" s="40"/>
      <c r="AQ47" s="8"/>
      <c r="AR47" s="8"/>
      <c r="AS47" s="8"/>
    </row>
    <row r="48" spans="1:45" x14ac:dyDescent="0.25">
      <c r="A48" s="34">
        <v>38</v>
      </c>
      <c r="B48" s="27">
        <v>60000</v>
      </c>
      <c r="C48" s="35" t="s">
        <v>168</v>
      </c>
      <c r="D48" s="134"/>
      <c r="E48" s="119" t="s">
        <v>10</v>
      </c>
      <c r="F48" s="135"/>
      <c r="G48" s="136"/>
      <c r="H48" s="134">
        <v>30000</v>
      </c>
      <c r="I48" s="119">
        <v>50000</v>
      </c>
      <c r="J48" s="119">
        <v>50000</v>
      </c>
      <c r="K48" s="119">
        <v>50000</v>
      </c>
      <c r="L48" s="119">
        <v>50000</v>
      </c>
      <c r="M48" s="119">
        <v>50000</v>
      </c>
      <c r="N48" s="119">
        <v>25000</v>
      </c>
      <c r="O48" s="119">
        <v>50000</v>
      </c>
      <c r="P48" s="119">
        <v>60000</v>
      </c>
      <c r="Q48" s="137">
        <v>60000</v>
      </c>
      <c r="R48" s="119">
        <v>60000</v>
      </c>
      <c r="S48" s="119">
        <v>60000</v>
      </c>
      <c r="T48" s="137">
        <v>60000</v>
      </c>
      <c r="U48" s="138">
        <v>30000</v>
      </c>
      <c r="V48" s="139"/>
      <c r="W48" s="140">
        <v>60000</v>
      </c>
      <c r="X48" s="141">
        <v>85000</v>
      </c>
      <c r="Y48" s="141"/>
      <c r="Z48" s="146">
        <v>85000</v>
      </c>
      <c r="AA48" s="146"/>
      <c r="AB48" s="146">
        <v>90000</v>
      </c>
      <c r="AC48" s="146"/>
      <c r="AD48" s="146">
        <v>100000</v>
      </c>
      <c r="AE48" s="147"/>
      <c r="AF48" s="125">
        <v>100000</v>
      </c>
      <c r="AG48" s="126"/>
      <c r="AH48" s="125">
        <v>50000</v>
      </c>
      <c r="AI48" s="105">
        <f>(AF48*(1+0.1))</f>
        <v>110000.00000000001</v>
      </c>
      <c r="AJ48" s="126"/>
      <c r="AK48" s="125">
        <v>110000</v>
      </c>
      <c r="AL48" s="148"/>
      <c r="AM48" s="125">
        <v>110000</v>
      </c>
      <c r="AN48" s="126"/>
      <c r="AO48" s="125">
        <v>110000</v>
      </c>
      <c r="AP48" s="126">
        <v>70000</v>
      </c>
      <c r="AQ48" s="148"/>
      <c r="AR48" s="148"/>
      <c r="AS48" s="148"/>
    </row>
    <row r="49" spans="1:45" s="85" customFormat="1" x14ac:dyDescent="0.25">
      <c r="A49" s="34">
        <v>39</v>
      </c>
      <c r="B49" s="43">
        <v>60000</v>
      </c>
      <c r="C49" s="35" t="s">
        <v>169</v>
      </c>
      <c r="D49" s="33"/>
      <c r="E49" s="13" t="s">
        <v>10</v>
      </c>
      <c r="F49" s="142"/>
      <c r="G49" s="143"/>
      <c r="H49" s="33"/>
      <c r="I49" s="15">
        <v>50000</v>
      </c>
      <c r="J49" s="15">
        <v>50000</v>
      </c>
      <c r="K49" s="15">
        <v>50000</v>
      </c>
      <c r="L49" s="13">
        <v>50000</v>
      </c>
      <c r="M49" s="13">
        <v>50000</v>
      </c>
      <c r="N49" s="10">
        <v>25000</v>
      </c>
      <c r="O49" s="13">
        <v>50000</v>
      </c>
      <c r="P49" s="15">
        <v>60000</v>
      </c>
      <c r="Q49" s="15">
        <v>60000</v>
      </c>
      <c r="R49" s="63">
        <v>60000</v>
      </c>
      <c r="S49" s="67">
        <v>60000</v>
      </c>
      <c r="T49" s="67">
        <v>60000</v>
      </c>
      <c r="U49" s="37">
        <v>30000</v>
      </c>
      <c r="V49" s="116"/>
      <c r="W49" s="39">
        <v>60000</v>
      </c>
      <c r="X49" s="40">
        <v>75000</v>
      </c>
      <c r="Y49" s="22"/>
      <c r="Z49" s="118">
        <v>75000</v>
      </c>
      <c r="AA49" s="22"/>
      <c r="AB49" s="51">
        <v>95000</v>
      </c>
      <c r="AC49" s="22"/>
      <c r="AD49" s="141">
        <v>100000</v>
      </c>
      <c r="AE49" s="117"/>
      <c r="AF49" s="40">
        <v>100000</v>
      </c>
      <c r="AG49" s="22"/>
      <c r="AH49" s="71">
        <v>50000</v>
      </c>
      <c r="AI49" s="71">
        <v>130000</v>
      </c>
      <c r="AJ49" s="22"/>
      <c r="AK49" s="40">
        <v>130000</v>
      </c>
      <c r="AL49" s="8"/>
      <c r="AM49" s="40">
        <v>130000</v>
      </c>
      <c r="AN49" s="22"/>
      <c r="AO49" s="40">
        <v>130000</v>
      </c>
      <c r="AP49" s="40"/>
      <c r="AQ49" s="8"/>
      <c r="AR49" s="8"/>
      <c r="AS49" s="8"/>
    </row>
    <row r="50" spans="1:45" x14ac:dyDescent="0.25">
      <c r="A50" s="34"/>
      <c r="B50" s="72">
        <v>50000</v>
      </c>
      <c r="C50" s="53" t="s">
        <v>170</v>
      </c>
      <c r="D50" s="73"/>
      <c r="E50" s="114"/>
      <c r="F50" s="149"/>
      <c r="G50" s="150"/>
      <c r="H50" s="73"/>
      <c r="I50" s="74"/>
      <c r="J50" s="74"/>
      <c r="K50" s="74"/>
      <c r="L50" s="74"/>
      <c r="M50" s="74"/>
      <c r="N50" s="74">
        <v>25000</v>
      </c>
      <c r="O50" s="74">
        <v>95000</v>
      </c>
      <c r="P50" s="74">
        <v>30000</v>
      </c>
      <c r="Q50" s="77"/>
      <c r="R50" s="77"/>
      <c r="S50" s="77"/>
      <c r="T50" s="81"/>
      <c r="U50" s="110"/>
      <c r="V50" s="111"/>
      <c r="W50" s="112"/>
      <c r="X50" s="83"/>
      <c r="Y50" s="113"/>
      <c r="Z50" s="113"/>
      <c r="AA50" s="113"/>
      <c r="AB50" s="113"/>
      <c r="AC50" s="113"/>
      <c r="AD50" s="113"/>
      <c r="AE50" s="113"/>
      <c r="AF50" s="83"/>
      <c r="AG50" s="113"/>
      <c r="AH50" s="151"/>
      <c r="AI50" s="115"/>
      <c r="AJ50" s="115"/>
      <c r="AK50" s="115"/>
      <c r="AL50" s="152"/>
      <c r="AM50" s="152"/>
      <c r="AN50" s="115"/>
      <c r="AO50" s="84"/>
      <c r="AP50" s="84"/>
      <c r="AQ50" s="152"/>
      <c r="AR50" s="152"/>
      <c r="AS50" s="152"/>
    </row>
    <row r="51" spans="1:45" s="85" customFormat="1" x14ac:dyDescent="0.25">
      <c r="A51" s="34">
        <v>40</v>
      </c>
      <c r="B51" s="27">
        <v>125000</v>
      </c>
      <c r="C51" s="35" t="s">
        <v>171</v>
      </c>
      <c r="D51" s="29"/>
      <c r="E51" s="13"/>
      <c r="F51" s="27"/>
      <c r="G51" s="36"/>
      <c r="H51" s="29"/>
      <c r="I51" s="13"/>
      <c r="J51" s="12"/>
      <c r="K51" s="12"/>
      <c r="L51" s="12"/>
      <c r="M51" s="12"/>
      <c r="N51" s="12"/>
      <c r="O51" s="12"/>
      <c r="P51" s="12"/>
      <c r="Q51" s="12"/>
      <c r="R51" s="12"/>
      <c r="S51" s="15"/>
      <c r="T51" s="15">
        <v>50000</v>
      </c>
      <c r="U51" s="153">
        <v>25000</v>
      </c>
      <c r="V51" s="154"/>
      <c r="W51" s="33">
        <v>50000</v>
      </c>
      <c r="X51" s="40">
        <v>50000</v>
      </c>
      <c r="Y51" s="22"/>
      <c r="Z51" s="40">
        <v>75000</v>
      </c>
      <c r="AA51" s="22"/>
      <c r="AB51" s="40">
        <v>150000</v>
      </c>
      <c r="AC51" s="22"/>
      <c r="AD51" s="41">
        <v>150000</v>
      </c>
      <c r="AE51" s="117"/>
      <c r="AF51" s="40">
        <v>150000</v>
      </c>
      <c r="AG51" s="22"/>
      <c r="AH51" s="40">
        <v>75000</v>
      </c>
      <c r="AI51" s="105">
        <f>(AF51*(1+0.1))</f>
        <v>165000</v>
      </c>
      <c r="AJ51" s="22"/>
      <c r="AK51" s="40">
        <v>165000</v>
      </c>
      <c r="AL51" s="8"/>
      <c r="AM51" s="40">
        <v>165000</v>
      </c>
      <c r="AN51" s="22"/>
      <c r="AO51" s="40">
        <v>165000</v>
      </c>
      <c r="AP51" s="40"/>
      <c r="AQ51" s="8"/>
      <c r="AR51" s="8"/>
      <c r="AS51" s="8"/>
    </row>
    <row r="52" spans="1:45" s="85" customFormat="1" x14ac:dyDescent="0.25">
      <c r="A52" s="34"/>
      <c r="B52" s="72">
        <v>60000</v>
      </c>
      <c r="C52" s="53" t="s">
        <v>172</v>
      </c>
      <c r="D52" s="73"/>
      <c r="E52" s="74"/>
      <c r="F52" s="72"/>
      <c r="G52" s="75"/>
      <c r="H52" s="73"/>
      <c r="I52" s="74"/>
      <c r="J52" s="76"/>
      <c r="K52" s="76"/>
      <c r="L52" s="76"/>
      <c r="M52" s="76"/>
      <c r="N52" s="76"/>
      <c r="O52" s="76"/>
      <c r="P52" s="76"/>
      <c r="Q52" s="76"/>
      <c r="R52" s="76"/>
      <c r="S52" s="77">
        <v>75000</v>
      </c>
      <c r="T52" s="155"/>
      <c r="U52" s="110"/>
      <c r="V52" s="111"/>
      <c r="W52" s="112"/>
      <c r="X52" s="83"/>
      <c r="Y52" s="113"/>
      <c r="Z52" s="83"/>
      <c r="AA52" s="83"/>
      <c r="AB52" s="114"/>
      <c r="AC52" s="114"/>
      <c r="AD52" s="114"/>
      <c r="AE52" s="113"/>
      <c r="AF52" s="83"/>
      <c r="AG52" s="113"/>
      <c r="AH52" s="114"/>
      <c r="AI52" s="115"/>
      <c r="AJ52" s="115"/>
      <c r="AK52" s="115"/>
      <c r="AL52" s="152"/>
      <c r="AM52" s="152"/>
      <c r="AN52" s="115"/>
      <c r="AO52" s="84"/>
      <c r="AP52" s="84"/>
      <c r="AQ52" s="152"/>
      <c r="AR52" s="152"/>
      <c r="AS52" s="152"/>
    </row>
    <row r="53" spans="1:45" x14ac:dyDescent="0.25">
      <c r="A53" s="34">
        <v>41</v>
      </c>
      <c r="B53" s="72">
        <v>160000</v>
      </c>
      <c r="C53" s="53" t="s">
        <v>173</v>
      </c>
      <c r="D53" s="73"/>
      <c r="E53" s="74" t="s">
        <v>10</v>
      </c>
      <c r="F53" s="72"/>
      <c r="G53" s="75"/>
      <c r="H53" s="73"/>
      <c r="I53" s="74"/>
      <c r="J53" s="74">
        <v>100000</v>
      </c>
      <c r="K53" s="77">
        <v>105000</v>
      </c>
      <c r="L53" s="74">
        <v>116250</v>
      </c>
      <c r="M53" s="74">
        <v>113125</v>
      </c>
      <c r="N53" s="74">
        <v>50000</v>
      </c>
      <c r="O53" s="74">
        <v>110700</v>
      </c>
      <c r="P53" s="74">
        <v>145000</v>
      </c>
      <c r="Q53" s="77">
        <v>112500</v>
      </c>
      <c r="R53" s="77">
        <v>25000</v>
      </c>
      <c r="S53" s="77"/>
      <c r="T53" s="81"/>
      <c r="U53" s="110"/>
      <c r="V53" s="111"/>
      <c r="W53" s="112"/>
      <c r="X53" s="83"/>
      <c r="Y53" s="113"/>
      <c r="Z53" s="83"/>
      <c r="AA53" s="83"/>
      <c r="AB53" s="114"/>
      <c r="AC53" s="114"/>
      <c r="AD53" s="114"/>
      <c r="AE53" s="113"/>
      <c r="AF53" s="83"/>
      <c r="AG53" s="113"/>
      <c r="AH53" s="114"/>
      <c r="AI53" s="115"/>
      <c r="AJ53" s="115"/>
      <c r="AK53" s="115"/>
      <c r="AL53" s="152"/>
      <c r="AM53" s="152"/>
      <c r="AN53" s="115"/>
      <c r="AO53" s="84"/>
      <c r="AP53" s="84"/>
      <c r="AQ53" s="152"/>
      <c r="AR53" s="152"/>
      <c r="AS53" s="152"/>
    </row>
    <row r="54" spans="1:45" x14ac:dyDescent="0.25">
      <c r="A54" s="34">
        <v>42</v>
      </c>
      <c r="B54" s="27">
        <v>350000</v>
      </c>
      <c r="C54" s="35" t="s">
        <v>174</v>
      </c>
      <c r="D54" s="87"/>
      <c r="E54" s="13" t="s">
        <v>10</v>
      </c>
      <c r="F54" s="27"/>
      <c r="G54" s="36"/>
      <c r="H54" s="29">
        <v>130000</v>
      </c>
      <c r="I54" s="15">
        <v>200000</v>
      </c>
      <c r="J54" s="13"/>
      <c r="K54" s="15">
        <v>300000</v>
      </c>
      <c r="L54" s="13">
        <v>350000</v>
      </c>
      <c r="M54" s="56">
        <v>350000</v>
      </c>
      <c r="N54" s="13">
        <v>150000</v>
      </c>
      <c r="O54" s="56">
        <v>350000</v>
      </c>
      <c r="P54" s="13">
        <v>350000</v>
      </c>
      <c r="Q54" s="15">
        <v>350000</v>
      </c>
      <c r="R54" s="63">
        <v>350000</v>
      </c>
      <c r="S54" s="63">
        <v>350000</v>
      </c>
      <c r="T54" s="63">
        <v>350000</v>
      </c>
      <c r="U54" s="49">
        <v>300000</v>
      </c>
      <c r="V54" s="116"/>
      <c r="W54" s="39">
        <v>400000</v>
      </c>
      <c r="X54" s="40">
        <v>350000</v>
      </c>
      <c r="Y54" s="22"/>
      <c r="Z54" s="118">
        <v>350000</v>
      </c>
      <c r="AA54" s="10"/>
      <c r="AB54" s="15">
        <v>360000</v>
      </c>
      <c r="AC54" s="10"/>
      <c r="AD54" s="10">
        <v>54000</v>
      </c>
      <c r="AE54" s="10"/>
      <c r="AF54" s="15">
        <v>400000</v>
      </c>
      <c r="AG54" s="10">
        <v>267500</v>
      </c>
      <c r="AH54" s="40">
        <v>200000</v>
      </c>
      <c r="AI54" s="105">
        <v>400000</v>
      </c>
      <c r="AJ54" s="40">
        <v>133000</v>
      </c>
      <c r="AK54" s="40">
        <v>400000</v>
      </c>
      <c r="AL54" s="105">
        <v>72250</v>
      </c>
      <c r="AM54" s="40">
        <v>400000</v>
      </c>
      <c r="AN54" s="40">
        <v>50000</v>
      </c>
      <c r="AO54" s="40">
        <v>400000</v>
      </c>
      <c r="AP54" s="22">
        <v>115000</v>
      </c>
      <c r="AQ54" s="8"/>
      <c r="AR54" s="8"/>
      <c r="AS54" s="8"/>
    </row>
    <row r="55" spans="1:45" x14ac:dyDescent="0.25">
      <c r="A55" s="34">
        <v>43</v>
      </c>
      <c r="B55" s="27">
        <v>300000</v>
      </c>
      <c r="C55" s="86" t="s">
        <v>175</v>
      </c>
      <c r="D55" s="90" t="s">
        <v>176</v>
      </c>
      <c r="E55" s="70" t="s">
        <v>156</v>
      </c>
      <c r="F55" s="156"/>
      <c r="G55" s="157"/>
      <c r="H55" s="158">
        <v>240400</v>
      </c>
      <c r="I55" s="70">
        <v>200000</v>
      </c>
      <c r="J55" s="70">
        <v>252500</v>
      </c>
      <c r="K55" s="70">
        <v>272500</v>
      </c>
      <c r="L55" s="159">
        <v>263800</v>
      </c>
      <c r="M55" s="159">
        <v>300000</v>
      </c>
      <c r="N55" s="159">
        <v>150000</v>
      </c>
      <c r="O55" s="159">
        <v>300000</v>
      </c>
      <c r="P55" s="159">
        <v>555000</v>
      </c>
      <c r="Q55" s="160">
        <v>475000</v>
      </c>
      <c r="R55" s="70">
        <v>315000</v>
      </c>
      <c r="S55" s="70">
        <v>325000</v>
      </c>
      <c r="T55" s="70">
        <v>400000</v>
      </c>
      <c r="U55" s="161">
        <v>300000</v>
      </c>
      <c r="V55" s="162"/>
      <c r="W55" s="163">
        <v>404000</v>
      </c>
      <c r="X55" s="41">
        <v>350000</v>
      </c>
      <c r="Y55" s="117">
        <v>140000</v>
      </c>
      <c r="Z55" s="41">
        <v>350000</v>
      </c>
      <c r="AA55" s="11">
        <v>150000</v>
      </c>
      <c r="AB55" s="70">
        <v>370000</v>
      </c>
      <c r="AC55" s="11"/>
      <c r="AD55" s="70">
        <v>380000</v>
      </c>
      <c r="AE55" s="11"/>
      <c r="AF55" s="15">
        <v>420000</v>
      </c>
      <c r="AG55" s="15">
        <v>400000</v>
      </c>
      <c r="AH55" s="40">
        <v>179000</v>
      </c>
      <c r="AI55" s="105">
        <v>372000</v>
      </c>
      <c r="AJ55" s="22"/>
      <c r="AK55" s="40">
        <v>400000</v>
      </c>
      <c r="AL55" s="105">
        <v>500000</v>
      </c>
      <c r="AM55" s="40">
        <v>372000</v>
      </c>
      <c r="AN55" s="40">
        <v>500000</v>
      </c>
      <c r="AO55" s="40">
        <v>372000</v>
      </c>
      <c r="AP55" s="40"/>
      <c r="AQ55" s="8"/>
      <c r="AR55" s="8"/>
      <c r="AS55" s="8"/>
    </row>
    <row r="56" spans="1:45" x14ac:dyDescent="0.25">
      <c r="A56" s="34">
        <v>44</v>
      </c>
      <c r="B56" s="27">
        <v>90000</v>
      </c>
      <c r="C56" s="86" t="s">
        <v>177</v>
      </c>
      <c r="D56" s="87" t="s">
        <v>178</v>
      </c>
      <c r="E56" s="159" t="s">
        <v>156</v>
      </c>
      <c r="F56" s="164"/>
      <c r="G56" s="103"/>
      <c r="H56" s="100">
        <v>40000</v>
      </c>
      <c r="I56" s="159">
        <v>75000</v>
      </c>
      <c r="J56" s="159">
        <v>75000</v>
      </c>
      <c r="K56" s="70">
        <v>75000</v>
      </c>
      <c r="L56" s="159">
        <v>75000</v>
      </c>
      <c r="M56" s="159">
        <v>75000</v>
      </c>
      <c r="N56" s="11">
        <v>40000</v>
      </c>
      <c r="O56" s="159">
        <v>75000</v>
      </c>
      <c r="P56" s="159">
        <v>90000</v>
      </c>
      <c r="Q56" s="70">
        <v>90000</v>
      </c>
      <c r="R56" s="165">
        <v>90000</v>
      </c>
      <c r="S56" s="165">
        <v>100000</v>
      </c>
      <c r="T56" s="165">
        <v>100000</v>
      </c>
      <c r="U56" s="161">
        <v>60000</v>
      </c>
      <c r="V56" s="162"/>
      <c r="W56" s="163">
        <v>104000</v>
      </c>
      <c r="X56" s="41">
        <v>107000</v>
      </c>
      <c r="Y56" s="117"/>
      <c r="Z56" s="41">
        <v>107000</v>
      </c>
      <c r="AA56" s="117"/>
      <c r="AB56" s="41">
        <v>120000</v>
      </c>
      <c r="AC56" s="117"/>
      <c r="AD56" s="41">
        <v>135000</v>
      </c>
      <c r="AE56" s="117"/>
      <c r="AF56" s="40">
        <v>177000</v>
      </c>
      <c r="AG56" s="22"/>
      <c r="AH56" s="40">
        <v>91000</v>
      </c>
      <c r="AI56" s="105">
        <v>188000</v>
      </c>
      <c r="AJ56" s="22"/>
      <c r="AK56" s="40">
        <v>189000</v>
      </c>
      <c r="AL56" s="105"/>
      <c r="AM56" s="40">
        <v>189000</v>
      </c>
      <c r="AN56" s="22"/>
      <c r="AO56" s="40">
        <v>217000</v>
      </c>
      <c r="AP56" s="40"/>
      <c r="AQ56" s="8"/>
      <c r="AR56" s="8"/>
      <c r="AS56" s="8"/>
    </row>
    <row r="57" spans="1:45" x14ac:dyDescent="0.25">
      <c r="A57" s="34">
        <v>45</v>
      </c>
      <c r="B57" s="27">
        <v>140000</v>
      </c>
      <c r="C57" s="166" t="s">
        <v>179</v>
      </c>
      <c r="D57" s="87"/>
      <c r="E57" s="159"/>
      <c r="F57" s="164"/>
      <c r="G57" s="103"/>
      <c r="H57" s="100"/>
      <c r="I57" s="159"/>
      <c r="J57" s="159"/>
      <c r="K57" s="70"/>
      <c r="L57" s="159"/>
      <c r="M57" s="159"/>
      <c r="N57" s="11"/>
      <c r="O57" s="159"/>
      <c r="P57" s="159"/>
      <c r="Q57" s="70"/>
      <c r="R57" s="165"/>
      <c r="S57" s="165"/>
      <c r="T57" s="165"/>
      <c r="U57" s="161"/>
      <c r="V57" s="162"/>
      <c r="W57" s="163"/>
      <c r="X57" s="41"/>
      <c r="Y57" s="117"/>
      <c r="Z57" s="41"/>
      <c r="AA57" s="117"/>
      <c r="AB57" s="41"/>
      <c r="AC57" s="117"/>
      <c r="AD57" s="41"/>
      <c r="AE57" s="117"/>
      <c r="AF57" s="40"/>
      <c r="AG57" s="22"/>
      <c r="AH57" s="40"/>
      <c r="AI57" s="105"/>
      <c r="AJ57" s="22"/>
      <c r="AK57" s="40">
        <v>140000</v>
      </c>
      <c r="AL57" s="105">
        <v>21000</v>
      </c>
      <c r="AM57" s="84"/>
      <c r="AN57" s="115"/>
      <c r="AO57" s="84"/>
      <c r="AP57" s="84"/>
      <c r="AQ57" s="152"/>
      <c r="AR57" s="152"/>
      <c r="AS57" s="152"/>
    </row>
    <row r="58" spans="1:45" x14ac:dyDescent="0.25">
      <c r="A58" s="34">
        <v>46</v>
      </c>
      <c r="B58" s="27">
        <v>200000</v>
      </c>
      <c r="C58" s="86" t="s">
        <v>180</v>
      </c>
      <c r="D58" s="90" t="s">
        <v>181</v>
      </c>
      <c r="E58" s="159" t="s">
        <v>112</v>
      </c>
      <c r="F58" s="164"/>
      <c r="G58" s="103"/>
      <c r="H58" s="100">
        <v>92320</v>
      </c>
      <c r="I58" s="159">
        <v>150000</v>
      </c>
      <c r="J58" s="159">
        <v>150000</v>
      </c>
      <c r="K58" s="70">
        <v>150000</v>
      </c>
      <c r="L58" s="159">
        <v>175000</v>
      </c>
      <c r="M58" s="159">
        <v>150000</v>
      </c>
      <c r="N58" s="159">
        <v>75000</v>
      </c>
      <c r="O58" s="159">
        <v>150000</v>
      </c>
      <c r="P58" s="160">
        <v>210000</v>
      </c>
      <c r="Q58" s="165">
        <v>200000</v>
      </c>
      <c r="R58" s="70">
        <v>200000</v>
      </c>
      <c r="S58" s="70">
        <v>200000</v>
      </c>
      <c r="T58" s="70">
        <v>200000</v>
      </c>
      <c r="U58" s="161">
        <v>100000</v>
      </c>
      <c r="V58" s="162"/>
      <c r="W58" s="163">
        <v>200000</v>
      </c>
      <c r="X58" s="41">
        <v>200000</v>
      </c>
      <c r="Y58" s="117"/>
      <c r="Z58" s="41">
        <v>200000</v>
      </c>
      <c r="AA58" s="117"/>
      <c r="AB58" s="41">
        <v>200000</v>
      </c>
      <c r="AC58" s="117"/>
      <c r="AD58" s="41">
        <v>218000</v>
      </c>
      <c r="AE58" s="117"/>
      <c r="AF58" s="40">
        <v>237000</v>
      </c>
      <c r="AG58" s="22"/>
      <c r="AH58" s="40">
        <v>138000</v>
      </c>
      <c r="AI58" s="105">
        <v>253000</v>
      </c>
      <c r="AJ58" s="22"/>
      <c r="AK58" s="105">
        <v>253000</v>
      </c>
      <c r="AL58" s="71"/>
      <c r="AM58" s="40">
        <v>253000</v>
      </c>
      <c r="AN58" s="22"/>
      <c r="AO58" s="40">
        <v>253000</v>
      </c>
      <c r="AP58" s="40"/>
      <c r="AQ58" s="8"/>
      <c r="AR58" s="8"/>
      <c r="AS58" s="8"/>
    </row>
    <row r="59" spans="1:45" x14ac:dyDescent="0.25">
      <c r="A59" s="34">
        <v>47</v>
      </c>
      <c r="B59" s="27">
        <v>60000</v>
      </c>
      <c r="C59" s="86" t="s">
        <v>182</v>
      </c>
      <c r="D59" s="100"/>
      <c r="E59" s="159"/>
      <c r="F59" s="164"/>
      <c r="G59" s="103"/>
      <c r="H59" s="100">
        <v>50000</v>
      </c>
      <c r="I59" s="159">
        <v>50000</v>
      </c>
      <c r="J59" s="159">
        <v>50000</v>
      </c>
      <c r="K59" s="70">
        <v>50000</v>
      </c>
      <c r="L59" s="159">
        <v>50000</v>
      </c>
      <c r="M59" s="159">
        <v>50000</v>
      </c>
      <c r="N59" s="11">
        <v>30000</v>
      </c>
      <c r="O59" s="159">
        <v>50000</v>
      </c>
      <c r="P59" s="70">
        <v>60000</v>
      </c>
      <c r="Q59" s="70">
        <v>60000</v>
      </c>
      <c r="R59" s="160">
        <v>60000</v>
      </c>
      <c r="S59" s="165">
        <v>60000</v>
      </c>
      <c r="T59" s="167">
        <v>60000</v>
      </c>
      <c r="U59" s="168">
        <v>30000</v>
      </c>
      <c r="V59" s="162"/>
      <c r="W59" s="163">
        <v>60000</v>
      </c>
      <c r="X59" s="41">
        <v>120000</v>
      </c>
      <c r="Y59" s="117"/>
      <c r="Z59" s="41">
        <v>120000</v>
      </c>
      <c r="AA59" s="117"/>
      <c r="AB59" s="41">
        <v>128000</v>
      </c>
      <c r="AC59" s="117"/>
      <c r="AD59" s="41">
        <v>137000</v>
      </c>
      <c r="AE59" s="117"/>
      <c r="AF59" s="40">
        <v>146000</v>
      </c>
      <c r="AG59" s="22"/>
      <c r="AH59" s="40">
        <v>92000</v>
      </c>
      <c r="AI59" s="105">
        <v>155000</v>
      </c>
      <c r="AJ59" s="22"/>
      <c r="AK59" s="105">
        <v>171000</v>
      </c>
      <c r="AL59" s="8"/>
      <c r="AM59" s="40">
        <v>171000</v>
      </c>
      <c r="AN59" s="22"/>
      <c r="AO59" s="40">
        <v>171000</v>
      </c>
      <c r="AP59" s="40"/>
      <c r="AQ59" s="8"/>
      <c r="AR59" s="8"/>
      <c r="AS59" s="8"/>
    </row>
    <row r="60" spans="1:45" x14ac:dyDescent="0.25">
      <c r="A60" s="34"/>
      <c r="B60" s="27">
        <v>160000</v>
      </c>
      <c r="C60" s="53" t="s">
        <v>183</v>
      </c>
      <c r="D60" s="29" t="s">
        <v>184</v>
      </c>
      <c r="E60" s="13" t="s">
        <v>131</v>
      </c>
      <c r="F60" s="27"/>
      <c r="G60" s="36"/>
      <c r="H60" s="29"/>
      <c r="I60" s="13"/>
      <c r="J60" s="13"/>
      <c r="K60" s="13"/>
      <c r="L60" s="13"/>
      <c r="M60" s="13"/>
      <c r="N60" s="13"/>
      <c r="O60" s="13"/>
      <c r="P60" s="13"/>
      <c r="Q60" s="15">
        <v>71250</v>
      </c>
      <c r="R60" s="15">
        <v>70000</v>
      </c>
      <c r="S60" s="15">
        <v>77500</v>
      </c>
      <c r="T60" s="15">
        <v>105500</v>
      </c>
      <c r="U60" s="49">
        <v>80000</v>
      </c>
      <c r="V60" s="116"/>
      <c r="W60" s="39">
        <v>235000</v>
      </c>
      <c r="X60" s="40">
        <v>160000</v>
      </c>
      <c r="Y60" s="22"/>
      <c r="Z60" s="40">
        <v>85000</v>
      </c>
      <c r="AA60" s="22"/>
      <c r="AB60" s="22"/>
      <c r="AC60" s="22"/>
      <c r="AD60" s="107"/>
      <c r="AE60" s="107"/>
      <c r="AF60" s="89"/>
      <c r="AG60" s="107"/>
      <c r="AH60" s="89"/>
      <c r="AI60" s="107"/>
      <c r="AJ60" s="107"/>
      <c r="AK60" s="107"/>
      <c r="AL60" s="48"/>
      <c r="AM60" s="48"/>
      <c r="AN60" s="107"/>
      <c r="AO60" s="108"/>
      <c r="AP60" s="108"/>
      <c r="AQ60" s="48"/>
      <c r="AR60" s="48"/>
      <c r="AS60" s="48"/>
    </row>
    <row r="61" spans="1:45" x14ac:dyDescent="0.25">
      <c r="A61" s="34"/>
      <c r="B61" s="27">
        <v>110000</v>
      </c>
      <c r="C61" s="53" t="s">
        <v>185</v>
      </c>
      <c r="D61" s="87" t="s">
        <v>186</v>
      </c>
      <c r="E61" s="13" t="s">
        <v>10</v>
      </c>
      <c r="F61" s="27"/>
      <c r="G61" s="36"/>
      <c r="H61" s="29">
        <v>50000</v>
      </c>
      <c r="I61" s="13">
        <v>100000</v>
      </c>
      <c r="J61" s="13">
        <v>103750</v>
      </c>
      <c r="K61" s="15">
        <v>110000</v>
      </c>
      <c r="L61" s="13">
        <v>106300</v>
      </c>
      <c r="M61" s="13">
        <v>100000</v>
      </c>
      <c r="N61" s="13">
        <v>50000</v>
      </c>
      <c r="O61" s="13">
        <v>100000</v>
      </c>
      <c r="P61" s="13">
        <v>115630</v>
      </c>
      <c r="Q61" s="15">
        <v>120000</v>
      </c>
      <c r="R61" s="15">
        <v>110000</v>
      </c>
      <c r="S61" s="15">
        <v>110000</v>
      </c>
      <c r="T61" s="15">
        <v>110000</v>
      </c>
      <c r="U61" s="49">
        <v>55000</v>
      </c>
      <c r="V61" s="116"/>
      <c r="W61" s="39">
        <v>110000</v>
      </c>
      <c r="X61" s="40">
        <v>110000</v>
      </c>
      <c r="Y61" s="22">
        <v>66000</v>
      </c>
      <c r="Z61" s="107"/>
      <c r="AA61" s="107"/>
      <c r="AB61" s="107"/>
      <c r="AC61" s="107"/>
      <c r="AD61" s="107"/>
      <c r="AE61" s="107"/>
      <c r="AF61" s="89"/>
      <c r="AG61" s="107"/>
      <c r="AH61" s="108"/>
      <c r="AI61" s="107"/>
      <c r="AJ61" s="107"/>
      <c r="AK61" s="107"/>
      <c r="AL61" s="48"/>
      <c r="AM61" s="48"/>
      <c r="AN61" s="107"/>
      <c r="AO61" s="108"/>
      <c r="AP61" s="108"/>
      <c r="AQ61" s="48"/>
      <c r="AR61" s="48"/>
      <c r="AS61" s="48"/>
    </row>
    <row r="62" spans="1:45" x14ac:dyDescent="0.25">
      <c r="A62" s="34">
        <v>48</v>
      </c>
      <c r="B62" s="27">
        <v>160000</v>
      </c>
      <c r="C62" s="35" t="s">
        <v>187</v>
      </c>
      <c r="D62" s="66" t="s">
        <v>188</v>
      </c>
      <c r="E62" s="13" t="s">
        <v>10</v>
      </c>
      <c r="F62" s="27"/>
      <c r="G62" s="36"/>
      <c r="H62" s="29">
        <v>50000</v>
      </c>
      <c r="I62" s="13">
        <v>100000</v>
      </c>
      <c r="J62" s="13">
        <v>100000</v>
      </c>
      <c r="K62" s="15">
        <v>102500</v>
      </c>
      <c r="L62" s="13">
        <v>100000</v>
      </c>
      <c r="M62" s="13">
        <v>100000</v>
      </c>
      <c r="N62" s="13">
        <v>50000</v>
      </c>
      <c r="O62" s="13">
        <v>110000</v>
      </c>
      <c r="P62" s="13">
        <v>110000</v>
      </c>
      <c r="Q62" s="15">
        <v>110000</v>
      </c>
      <c r="R62" s="15">
        <v>160000</v>
      </c>
      <c r="S62" s="15">
        <v>160000</v>
      </c>
      <c r="T62" s="15">
        <v>160000</v>
      </c>
      <c r="U62" s="49">
        <v>80000</v>
      </c>
      <c r="V62" s="116"/>
      <c r="W62" s="39">
        <v>160000</v>
      </c>
      <c r="X62" s="40">
        <v>160000</v>
      </c>
      <c r="Y62" s="22"/>
      <c r="Z62" s="40">
        <v>160000</v>
      </c>
      <c r="AA62" s="22"/>
      <c r="AB62" s="40">
        <v>180000</v>
      </c>
      <c r="AC62" s="22"/>
      <c r="AD62" s="41">
        <v>190000</v>
      </c>
      <c r="AE62" s="117"/>
      <c r="AF62" s="40">
        <v>200000</v>
      </c>
      <c r="AG62" s="22"/>
      <c r="AH62" s="40">
        <v>100000</v>
      </c>
      <c r="AI62" s="105">
        <f>(AF62*(1+0.1))</f>
        <v>220000.00000000003</v>
      </c>
      <c r="AJ62" s="22"/>
      <c r="AK62" s="105">
        <v>220000</v>
      </c>
      <c r="AL62" s="22"/>
      <c r="AM62" s="40">
        <v>220000</v>
      </c>
      <c r="AN62" s="22"/>
      <c r="AO62" s="40">
        <v>220000</v>
      </c>
      <c r="AP62" s="22">
        <v>12250</v>
      </c>
      <c r="AQ62" s="8"/>
      <c r="AR62" s="8"/>
      <c r="AS62" s="8"/>
    </row>
    <row r="63" spans="1:45" x14ac:dyDescent="0.25">
      <c r="A63" s="34">
        <v>49</v>
      </c>
      <c r="B63" s="27">
        <v>160000</v>
      </c>
      <c r="C63" s="92" t="s">
        <v>189</v>
      </c>
      <c r="D63" s="87" t="s">
        <v>190</v>
      </c>
      <c r="E63" s="13" t="s">
        <v>10</v>
      </c>
      <c r="F63" s="27"/>
      <c r="G63" s="36"/>
      <c r="H63" s="29">
        <v>40000</v>
      </c>
      <c r="I63" s="13">
        <v>100000</v>
      </c>
      <c r="J63" s="13">
        <v>100000</v>
      </c>
      <c r="K63" s="15">
        <v>100000</v>
      </c>
      <c r="L63" s="13">
        <v>88000</v>
      </c>
      <c r="M63" s="13">
        <v>100000</v>
      </c>
      <c r="N63" s="13">
        <v>50000</v>
      </c>
      <c r="O63" s="13">
        <v>90000</v>
      </c>
      <c r="P63" s="13">
        <v>105000</v>
      </c>
      <c r="Q63" s="15">
        <v>137500</v>
      </c>
      <c r="R63" s="15">
        <v>160000</v>
      </c>
      <c r="S63" s="15">
        <v>160000</v>
      </c>
      <c r="T63" s="15">
        <v>160000</v>
      </c>
      <c r="U63" s="49">
        <v>80000</v>
      </c>
      <c r="V63" s="116"/>
      <c r="W63" s="39">
        <v>115000</v>
      </c>
      <c r="X63" s="40">
        <v>160000</v>
      </c>
      <c r="Y63" s="22"/>
      <c r="Z63" s="40">
        <v>160000</v>
      </c>
      <c r="AA63" s="22"/>
      <c r="AB63" s="40">
        <v>180000</v>
      </c>
      <c r="AC63" s="22"/>
      <c r="AD63" s="41">
        <v>190000</v>
      </c>
      <c r="AE63" s="117"/>
      <c r="AF63" s="40">
        <v>190000</v>
      </c>
      <c r="AG63" s="22"/>
      <c r="AH63" s="40">
        <v>135000</v>
      </c>
      <c r="AI63" s="22"/>
      <c r="AJ63" s="22"/>
      <c r="AK63" s="22"/>
      <c r="AL63" s="8"/>
      <c r="AM63" s="169"/>
      <c r="AN63" s="22"/>
      <c r="AO63" s="170"/>
      <c r="AP63" s="170"/>
      <c r="AQ63" s="171"/>
      <c r="AR63" s="171"/>
      <c r="AS63" s="171"/>
    </row>
    <row r="64" spans="1:45" x14ac:dyDescent="0.25">
      <c r="A64" s="34">
        <v>50</v>
      </c>
      <c r="B64" s="27">
        <v>160000</v>
      </c>
      <c r="C64" s="44" t="s">
        <v>191</v>
      </c>
      <c r="D64" s="33" t="s">
        <v>192</v>
      </c>
      <c r="E64" s="15" t="s">
        <v>10</v>
      </c>
      <c r="F64" s="142"/>
      <c r="G64" s="143"/>
      <c r="H64" s="33"/>
      <c r="I64" s="15"/>
      <c r="J64" s="15">
        <v>50000</v>
      </c>
      <c r="K64" s="15">
        <v>51875</v>
      </c>
      <c r="L64" s="13">
        <v>51500</v>
      </c>
      <c r="M64" s="13">
        <v>50000</v>
      </c>
      <c r="N64" s="13">
        <v>25000</v>
      </c>
      <c r="O64" s="13">
        <v>52000</v>
      </c>
      <c r="P64" s="13">
        <v>110000</v>
      </c>
      <c r="Q64" s="15">
        <v>150000</v>
      </c>
      <c r="R64" s="15">
        <v>150000</v>
      </c>
      <c r="S64" s="15">
        <v>160000</v>
      </c>
      <c r="T64" s="15">
        <v>160000</v>
      </c>
      <c r="U64" s="49">
        <v>80000</v>
      </c>
      <c r="V64" s="116"/>
      <c r="W64" s="39">
        <v>160000</v>
      </c>
      <c r="X64" s="40">
        <v>160000</v>
      </c>
      <c r="Y64" s="22"/>
      <c r="Z64" s="40">
        <v>160000</v>
      </c>
      <c r="AA64" s="22"/>
      <c r="AB64" s="40">
        <v>180000</v>
      </c>
      <c r="AC64" s="22"/>
      <c r="AD64" s="41">
        <v>190000</v>
      </c>
      <c r="AE64" s="117"/>
      <c r="AF64" s="40">
        <v>200000</v>
      </c>
      <c r="AG64" s="22"/>
      <c r="AH64" s="40">
        <v>100000</v>
      </c>
      <c r="AI64" s="40">
        <f>(AF64*(1+0.1))</f>
        <v>220000.00000000003</v>
      </c>
      <c r="AJ64" s="22"/>
      <c r="AK64" s="40">
        <v>220000</v>
      </c>
      <c r="AL64" s="8"/>
      <c r="AM64" s="71">
        <v>220000</v>
      </c>
      <c r="AN64" s="22"/>
      <c r="AO64" s="71">
        <v>220000</v>
      </c>
      <c r="AP64" s="71"/>
      <c r="AQ64" s="8"/>
      <c r="AR64" s="8"/>
      <c r="AS64" s="8"/>
    </row>
    <row r="65" spans="1:45" x14ac:dyDescent="0.25">
      <c r="A65" s="34">
        <v>51</v>
      </c>
      <c r="B65" s="43">
        <v>110000</v>
      </c>
      <c r="C65" s="172" t="s">
        <v>193</v>
      </c>
      <c r="D65" s="158" t="s">
        <v>194</v>
      </c>
      <c r="E65" s="15" t="s">
        <v>10</v>
      </c>
      <c r="F65" s="142"/>
      <c r="G65" s="143"/>
      <c r="H65" s="33">
        <v>50000</v>
      </c>
      <c r="I65" s="15">
        <v>100000</v>
      </c>
      <c r="J65" s="15">
        <v>102500</v>
      </c>
      <c r="K65" s="15">
        <v>111250</v>
      </c>
      <c r="L65" s="15">
        <v>79000</v>
      </c>
      <c r="M65" s="15">
        <v>100875</v>
      </c>
      <c r="N65" s="15">
        <v>50000</v>
      </c>
      <c r="O65" s="15">
        <v>96500</v>
      </c>
      <c r="P65" s="15">
        <v>120000</v>
      </c>
      <c r="Q65" s="15">
        <v>77500</v>
      </c>
      <c r="R65" s="15">
        <v>102500</v>
      </c>
      <c r="S65" s="15">
        <v>110000</v>
      </c>
      <c r="T65" s="15">
        <v>125000</v>
      </c>
      <c r="U65" s="49">
        <v>55000</v>
      </c>
      <c r="V65" s="145"/>
      <c r="W65" s="39">
        <v>120000</v>
      </c>
      <c r="X65" s="40">
        <v>110000</v>
      </c>
      <c r="Y65" s="40"/>
      <c r="Z65" s="40">
        <v>110000</v>
      </c>
      <c r="AA65" s="40"/>
      <c r="AB65" s="40">
        <v>130000</v>
      </c>
      <c r="AC65" s="40"/>
      <c r="AD65" s="41">
        <v>140000</v>
      </c>
      <c r="AE65" s="41"/>
      <c r="AF65" s="40">
        <v>150000</v>
      </c>
      <c r="AG65" s="40"/>
      <c r="AH65" s="40">
        <v>75000</v>
      </c>
      <c r="AI65" s="40">
        <f>(AF65*(1+0.1))</f>
        <v>165000</v>
      </c>
      <c r="AJ65" s="40"/>
      <c r="AK65" s="40">
        <v>165000</v>
      </c>
      <c r="AL65" s="8">
        <v>55000</v>
      </c>
      <c r="AM65" s="169">
        <v>57750</v>
      </c>
      <c r="AN65" s="22"/>
      <c r="AO65" s="170"/>
      <c r="AP65" s="170"/>
      <c r="AQ65" s="171"/>
      <c r="AR65" s="171"/>
      <c r="AS65" s="171"/>
    </row>
    <row r="66" spans="1:45" x14ac:dyDescent="0.25">
      <c r="A66" s="34"/>
      <c r="B66" s="27">
        <v>85000</v>
      </c>
      <c r="C66" s="53" t="s">
        <v>195</v>
      </c>
      <c r="D66" s="29" t="s">
        <v>196</v>
      </c>
      <c r="E66" s="13" t="s">
        <v>197</v>
      </c>
      <c r="F66" s="27"/>
      <c r="G66" s="36"/>
      <c r="H66" s="29"/>
      <c r="I66" s="13"/>
      <c r="J66" s="13"/>
      <c r="K66" s="13"/>
      <c r="L66" s="13"/>
      <c r="M66" s="13"/>
      <c r="N66" s="13"/>
      <c r="O66" s="13">
        <v>75000</v>
      </c>
      <c r="P66" s="13">
        <v>85000</v>
      </c>
      <c r="Q66" s="15">
        <v>88130</v>
      </c>
      <c r="R66" s="15">
        <v>85000</v>
      </c>
      <c r="S66" s="15">
        <v>85000</v>
      </c>
      <c r="T66" s="15">
        <v>85000</v>
      </c>
      <c r="U66" s="49">
        <v>42500</v>
      </c>
      <c r="V66" s="116"/>
      <c r="W66" s="39">
        <v>85000</v>
      </c>
      <c r="X66" s="40">
        <v>160000</v>
      </c>
      <c r="Y66" s="22"/>
      <c r="Z66" s="40">
        <v>135000</v>
      </c>
      <c r="AA66" s="22">
        <v>25000</v>
      </c>
      <c r="AB66" s="40">
        <v>180000</v>
      </c>
      <c r="AC66" s="22"/>
      <c r="AD66" s="41">
        <v>190000</v>
      </c>
      <c r="AE66" s="124">
        <v>35000</v>
      </c>
      <c r="AF66" s="173"/>
      <c r="AG66" s="174"/>
      <c r="AH66" s="108"/>
      <c r="AI66" s="107"/>
      <c r="AJ66" s="107"/>
      <c r="AK66" s="107"/>
      <c r="AL66" s="48"/>
      <c r="AM66" s="48"/>
      <c r="AN66" s="107"/>
      <c r="AO66" s="108"/>
      <c r="AP66" s="108"/>
      <c r="AQ66" s="48"/>
      <c r="AR66" s="48"/>
      <c r="AS66" s="48"/>
    </row>
    <row r="67" spans="1:45" x14ac:dyDescent="0.25">
      <c r="A67" s="34">
        <v>52</v>
      </c>
      <c r="B67" s="27">
        <v>160000</v>
      </c>
      <c r="C67" s="35" t="s">
        <v>198</v>
      </c>
      <c r="D67" s="29"/>
      <c r="E67" s="13" t="s">
        <v>197</v>
      </c>
      <c r="F67" s="27"/>
      <c r="G67" s="36"/>
      <c r="H67" s="29"/>
      <c r="I67" s="13"/>
      <c r="J67" s="12"/>
      <c r="K67" s="12"/>
      <c r="L67" s="12"/>
      <c r="M67" s="12"/>
      <c r="N67" s="12"/>
      <c r="O67" s="12"/>
      <c r="P67" s="12"/>
      <c r="Q67" s="12"/>
      <c r="R67" s="12"/>
      <c r="S67" s="15"/>
      <c r="T67" s="4"/>
      <c r="U67" s="153">
        <v>50000</v>
      </c>
      <c r="V67" s="154"/>
      <c r="W67" s="33">
        <v>160000</v>
      </c>
      <c r="X67" s="40">
        <v>160000</v>
      </c>
      <c r="Y67" s="22">
        <v>92000</v>
      </c>
      <c r="Z67" s="118">
        <v>160000</v>
      </c>
      <c r="AA67" s="22"/>
      <c r="AB67" s="40">
        <v>180000</v>
      </c>
      <c r="AC67" s="22"/>
      <c r="AD67" s="41">
        <v>190000</v>
      </c>
      <c r="AE67" s="124">
        <v>140000</v>
      </c>
      <c r="AF67" s="40">
        <v>200000</v>
      </c>
      <c r="AG67" s="22">
        <v>130000</v>
      </c>
      <c r="AH67" s="40">
        <v>100000</v>
      </c>
      <c r="AI67" s="71">
        <f t="shared" ref="AI67:AI73" si="0">(AF67*(1+0.1))</f>
        <v>220000.00000000003</v>
      </c>
      <c r="AJ67" s="40">
        <v>21000</v>
      </c>
      <c r="AK67" s="40">
        <v>220000</v>
      </c>
      <c r="AL67" s="105">
        <v>31500</v>
      </c>
      <c r="AM67" s="40">
        <v>220000</v>
      </c>
      <c r="AN67" s="40">
        <v>213500</v>
      </c>
      <c r="AO67" s="40">
        <v>220000</v>
      </c>
      <c r="AP67" s="22">
        <v>122500</v>
      </c>
      <c r="AQ67" s="8"/>
      <c r="AR67" s="8"/>
      <c r="AS67" s="8"/>
    </row>
    <row r="68" spans="1:45" x14ac:dyDescent="0.25">
      <c r="A68" s="34">
        <v>53</v>
      </c>
      <c r="B68" s="27">
        <v>140000</v>
      </c>
      <c r="C68" s="35" t="s">
        <v>199</v>
      </c>
      <c r="D68" s="29"/>
      <c r="E68" s="13"/>
      <c r="F68" s="27"/>
      <c r="G68" s="36"/>
      <c r="H68" s="29"/>
      <c r="I68" s="13"/>
      <c r="J68" s="12"/>
      <c r="K68" s="12"/>
      <c r="L68" s="12"/>
      <c r="M68" s="12"/>
      <c r="N68" s="12"/>
      <c r="O68" s="12"/>
      <c r="P68" s="12"/>
      <c r="Q68" s="12"/>
      <c r="R68" s="12"/>
      <c r="S68" s="15"/>
      <c r="T68" s="4"/>
      <c r="U68" s="153"/>
      <c r="V68" s="154"/>
      <c r="W68" s="33"/>
      <c r="X68" s="40"/>
      <c r="Y68" s="22"/>
      <c r="Z68" s="40">
        <v>180000</v>
      </c>
      <c r="AA68" s="22"/>
      <c r="AB68" s="169">
        <v>140000</v>
      </c>
      <c r="AC68" s="22"/>
      <c r="AD68" s="22"/>
      <c r="AE68" s="22"/>
      <c r="AF68" s="40">
        <v>150000</v>
      </c>
      <c r="AG68" s="22">
        <v>50000</v>
      </c>
      <c r="AH68" s="175">
        <v>75000</v>
      </c>
      <c r="AI68" s="71">
        <f t="shared" si="0"/>
        <v>165000</v>
      </c>
      <c r="AJ68" s="22"/>
      <c r="AK68" s="40">
        <v>165000</v>
      </c>
      <c r="AL68" s="22"/>
      <c r="AM68" s="22"/>
      <c r="AN68" s="40"/>
      <c r="AO68" s="40">
        <v>140000</v>
      </c>
      <c r="AP68" s="40"/>
      <c r="AQ68" s="8"/>
      <c r="AR68" s="8"/>
      <c r="AS68" s="8"/>
    </row>
    <row r="69" spans="1:45" x14ac:dyDescent="0.25">
      <c r="A69" s="34">
        <v>54</v>
      </c>
      <c r="B69" s="43">
        <v>200000</v>
      </c>
      <c r="C69" s="35" t="s">
        <v>51</v>
      </c>
      <c r="D69" s="158" t="s">
        <v>200</v>
      </c>
      <c r="E69" s="15" t="s">
        <v>10</v>
      </c>
      <c r="F69" s="142"/>
      <c r="G69" s="143"/>
      <c r="H69" s="33">
        <v>50000</v>
      </c>
      <c r="I69" s="15">
        <v>150000</v>
      </c>
      <c r="J69" s="15">
        <v>150000</v>
      </c>
      <c r="K69" s="15">
        <v>150000</v>
      </c>
      <c r="L69" s="15">
        <v>150000</v>
      </c>
      <c r="M69" s="15">
        <v>150000</v>
      </c>
      <c r="N69" s="15">
        <v>80000</v>
      </c>
      <c r="O69" s="15">
        <v>150000</v>
      </c>
      <c r="P69" s="15">
        <v>160000</v>
      </c>
      <c r="Q69" s="15">
        <v>160000</v>
      </c>
      <c r="R69" s="15">
        <v>160000</v>
      </c>
      <c r="S69" s="15">
        <v>180000</v>
      </c>
      <c r="T69" s="15">
        <v>200000</v>
      </c>
      <c r="U69" s="49">
        <v>100000</v>
      </c>
      <c r="V69" s="145"/>
      <c r="W69" s="39">
        <v>200000</v>
      </c>
      <c r="X69" s="40">
        <v>2000000</v>
      </c>
      <c r="Y69" s="40"/>
      <c r="Z69" s="40">
        <v>200000</v>
      </c>
      <c r="AA69" s="40"/>
      <c r="AB69" s="40">
        <v>220000</v>
      </c>
      <c r="AC69" s="40"/>
      <c r="AD69" s="41">
        <v>230000</v>
      </c>
      <c r="AE69" s="41"/>
      <c r="AF69" s="40">
        <v>250000</v>
      </c>
      <c r="AG69" s="40">
        <v>300000</v>
      </c>
      <c r="AH69" s="120">
        <v>125000</v>
      </c>
      <c r="AI69" s="105">
        <f t="shared" si="0"/>
        <v>275000</v>
      </c>
      <c r="AJ69" s="22"/>
      <c r="AK69" s="40">
        <v>275000</v>
      </c>
      <c r="AL69" s="8"/>
      <c r="AM69" s="40">
        <v>275000</v>
      </c>
      <c r="AN69" s="40">
        <v>300000</v>
      </c>
      <c r="AO69" s="40">
        <v>275000</v>
      </c>
      <c r="AP69" s="40"/>
      <c r="AQ69" s="8"/>
      <c r="AR69" s="8"/>
      <c r="AS69" s="8"/>
    </row>
    <row r="70" spans="1:45" x14ac:dyDescent="0.25">
      <c r="A70" s="34">
        <v>55</v>
      </c>
      <c r="B70" s="27">
        <v>160000</v>
      </c>
      <c r="C70" s="35" t="s">
        <v>44</v>
      </c>
      <c r="D70" s="87"/>
      <c r="E70" s="13" t="s">
        <v>10</v>
      </c>
      <c r="F70" s="27"/>
      <c r="G70" s="36"/>
      <c r="H70" s="29">
        <v>50000</v>
      </c>
      <c r="I70" s="13">
        <v>100000</v>
      </c>
      <c r="J70" s="13">
        <v>150000</v>
      </c>
      <c r="K70" s="15">
        <v>150000</v>
      </c>
      <c r="L70" s="13">
        <v>156250</v>
      </c>
      <c r="M70" s="13">
        <v>162500</v>
      </c>
      <c r="N70" s="13">
        <v>75000</v>
      </c>
      <c r="O70" s="13">
        <v>155700</v>
      </c>
      <c r="P70" s="15">
        <v>160000</v>
      </c>
      <c r="Q70" s="15">
        <v>150000</v>
      </c>
      <c r="R70" s="15">
        <v>160000</v>
      </c>
      <c r="S70" s="15">
        <v>160000</v>
      </c>
      <c r="T70" s="15">
        <v>160000</v>
      </c>
      <c r="U70" s="49">
        <v>80000</v>
      </c>
      <c r="V70" s="116"/>
      <c r="W70" s="39">
        <v>130000</v>
      </c>
      <c r="X70" s="40">
        <v>160000</v>
      </c>
      <c r="Y70" s="22"/>
      <c r="Z70" s="40">
        <v>160000</v>
      </c>
      <c r="AA70" s="22">
        <v>10000</v>
      </c>
      <c r="AB70" s="40">
        <v>180000</v>
      </c>
      <c r="AC70" s="22"/>
      <c r="AD70" s="41">
        <v>190000</v>
      </c>
      <c r="AE70" s="117"/>
      <c r="AF70" s="40">
        <v>200000</v>
      </c>
      <c r="AG70" s="22"/>
      <c r="AH70" s="120">
        <v>100000</v>
      </c>
      <c r="AI70" s="105">
        <f t="shared" si="0"/>
        <v>220000.00000000003</v>
      </c>
      <c r="AJ70" s="22"/>
      <c r="AK70" s="105">
        <v>220000</v>
      </c>
      <c r="AL70" s="8"/>
      <c r="AM70" s="40">
        <v>220000</v>
      </c>
      <c r="AN70" s="40"/>
      <c r="AO70" s="40">
        <v>220000</v>
      </c>
      <c r="AP70" s="40"/>
      <c r="AQ70" s="8"/>
      <c r="AR70" s="8"/>
      <c r="AS70" s="8"/>
    </row>
    <row r="71" spans="1:45" x14ac:dyDescent="0.25">
      <c r="A71" s="34">
        <v>56</v>
      </c>
      <c r="B71" s="27">
        <v>310000</v>
      </c>
      <c r="C71" s="44" t="s">
        <v>201</v>
      </c>
      <c r="D71" s="66"/>
      <c r="E71" s="13" t="s">
        <v>10</v>
      </c>
      <c r="F71" s="27"/>
      <c r="G71" s="36"/>
      <c r="H71" s="29">
        <v>110000</v>
      </c>
      <c r="I71" s="13">
        <v>200000</v>
      </c>
      <c r="J71" s="13">
        <v>200000</v>
      </c>
      <c r="K71" s="15">
        <v>300000</v>
      </c>
      <c r="L71" s="13">
        <v>361300</v>
      </c>
      <c r="M71" s="13">
        <v>300000</v>
      </c>
      <c r="N71" s="13">
        <v>150000</v>
      </c>
      <c r="O71" s="13">
        <v>300000</v>
      </c>
      <c r="P71" s="13">
        <v>340000</v>
      </c>
      <c r="Q71" s="15">
        <v>310000</v>
      </c>
      <c r="R71" s="63">
        <v>310000</v>
      </c>
      <c r="S71" s="63">
        <v>342500</v>
      </c>
      <c r="T71" s="63">
        <v>355000</v>
      </c>
      <c r="U71" s="49">
        <v>155000</v>
      </c>
      <c r="V71" s="116"/>
      <c r="W71" s="39">
        <v>400000</v>
      </c>
      <c r="X71" s="40">
        <v>350000</v>
      </c>
      <c r="Y71" s="22"/>
      <c r="Z71" s="40">
        <v>350000</v>
      </c>
      <c r="AA71" s="10">
        <v>160000</v>
      </c>
      <c r="AB71" s="69">
        <v>375000</v>
      </c>
      <c r="AC71" s="10"/>
      <c r="AD71" s="70">
        <v>380000</v>
      </c>
      <c r="AE71" s="11">
        <v>215000</v>
      </c>
      <c r="AF71" s="15">
        <v>400000</v>
      </c>
      <c r="AG71" s="10">
        <v>300000</v>
      </c>
      <c r="AH71" s="120">
        <v>200000</v>
      </c>
      <c r="AI71" s="40">
        <f t="shared" si="0"/>
        <v>440000.00000000006</v>
      </c>
      <c r="AJ71" s="40">
        <v>207000</v>
      </c>
      <c r="AK71" s="121">
        <v>440000</v>
      </c>
      <c r="AL71" s="71">
        <v>201000</v>
      </c>
      <c r="AM71" s="71">
        <v>440000</v>
      </c>
      <c r="AN71" s="40">
        <v>165000</v>
      </c>
      <c r="AO71" s="71">
        <v>440000</v>
      </c>
      <c r="AP71" s="22">
        <v>249000</v>
      </c>
      <c r="AQ71" s="8"/>
      <c r="AR71" s="8"/>
      <c r="AS71" s="8"/>
    </row>
    <row r="72" spans="1:45" x14ac:dyDescent="0.25">
      <c r="A72" s="34">
        <v>57</v>
      </c>
      <c r="B72" s="27">
        <v>110000</v>
      </c>
      <c r="C72" s="35" t="s">
        <v>202</v>
      </c>
      <c r="D72" s="87" t="s">
        <v>203</v>
      </c>
      <c r="E72" s="13" t="s">
        <v>10</v>
      </c>
      <c r="F72" s="27"/>
      <c r="G72" s="36"/>
      <c r="H72" s="29">
        <v>60000</v>
      </c>
      <c r="I72" s="13">
        <v>100000</v>
      </c>
      <c r="J72" s="13">
        <v>100000</v>
      </c>
      <c r="K72" s="15">
        <v>100000</v>
      </c>
      <c r="L72" s="13">
        <v>100000</v>
      </c>
      <c r="M72" s="13">
        <v>100000</v>
      </c>
      <c r="N72" s="13">
        <v>50000</v>
      </c>
      <c r="O72" s="13">
        <v>100000</v>
      </c>
      <c r="P72" s="13">
        <v>110000</v>
      </c>
      <c r="Q72" s="63">
        <v>110000</v>
      </c>
      <c r="R72" s="15">
        <v>110000</v>
      </c>
      <c r="S72" s="15">
        <v>110000</v>
      </c>
      <c r="T72" s="15">
        <v>110000</v>
      </c>
      <c r="U72" s="49">
        <v>55000</v>
      </c>
      <c r="V72" s="116"/>
      <c r="W72" s="39">
        <v>110000</v>
      </c>
      <c r="X72" s="40">
        <v>110000</v>
      </c>
      <c r="Y72" s="22"/>
      <c r="Z72" s="40">
        <v>110000</v>
      </c>
      <c r="AA72" s="22"/>
      <c r="AB72" s="40">
        <v>130000</v>
      </c>
      <c r="AC72" s="22"/>
      <c r="AD72" s="41">
        <v>140000</v>
      </c>
      <c r="AE72" s="117"/>
      <c r="AF72" s="40">
        <v>150000</v>
      </c>
      <c r="AG72" s="22"/>
      <c r="AH72" s="120">
        <v>75000</v>
      </c>
      <c r="AI72" s="105">
        <f t="shared" si="0"/>
        <v>165000</v>
      </c>
      <c r="AJ72" s="22"/>
      <c r="AK72" s="40">
        <v>165000</v>
      </c>
      <c r="AL72" s="71"/>
      <c r="AM72" s="40">
        <v>165000</v>
      </c>
      <c r="AN72" s="22"/>
      <c r="AO72" s="125">
        <v>165000</v>
      </c>
      <c r="AP72" s="125"/>
      <c r="AQ72" s="8"/>
      <c r="AR72" s="8"/>
      <c r="AS72" s="8"/>
    </row>
    <row r="73" spans="1:45" x14ac:dyDescent="0.25">
      <c r="A73" s="34">
        <v>58</v>
      </c>
      <c r="B73" s="27">
        <v>160000</v>
      </c>
      <c r="C73" s="44" t="s">
        <v>204</v>
      </c>
      <c r="D73" s="66"/>
      <c r="E73" s="13" t="s">
        <v>10</v>
      </c>
      <c r="F73" s="135"/>
      <c r="G73" s="136"/>
      <c r="H73" s="134">
        <v>90000</v>
      </c>
      <c r="I73" s="119">
        <v>150000</v>
      </c>
      <c r="J73" s="119">
        <v>150000</v>
      </c>
      <c r="K73" s="119">
        <v>150000</v>
      </c>
      <c r="L73" s="119">
        <v>150000</v>
      </c>
      <c r="M73" s="119">
        <v>150000</v>
      </c>
      <c r="N73" s="119">
        <v>75000</v>
      </c>
      <c r="O73" s="119">
        <v>150000</v>
      </c>
      <c r="P73" s="119">
        <v>145000</v>
      </c>
      <c r="Q73" s="119">
        <v>150000</v>
      </c>
      <c r="R73" s="119">
        <v>160000</v>
      </c>
      <c r="S73" s="119">
        <v>160000</v>
      </c>
      <c r="T73" s="119">
        <v>160000</v>
      </c>
      <c r="U73" s="138">
        <v>80000</v>
      </c>
      <c r="V73" s="139"/>
      <c r="W73" s="140">
        <v>150000</v>
      </c>
      <c r="X73" s="141">
        <v>130000</v>
      </c>
      <c r="Y73" s="141">
        <v>24000</v>
      </c>
      <c r="Z73" s="141">
        <v>160000</v>
      </c>
      <c r="AA73" s="146">
        <v>10000</v>
      </c>
      <c r="AB73" s="146">
        <v>170000</v>
      </c>
      <c r="AC73" s="146"/>
      <c r="AD73" s="146">
        <v>180000</v>
      </c>
      <c r="AE73" s="147">
        <v>10000</v>
      </c>
      <c r="AF73" s="125">
        <v>200000</v>
      </c>
      <c r="AG73" s="126">
        <v>50000</v>
      </c>
      <c r="AH73" s="120">
        <v>100000</v>
      </c>
      <c r="AI73" s="40">
        <f t="shared" si="0"/>
        <v>220000.00000000003</v>
      </c>
      <c r="AJ73" s="22"/>
      <c r="AK73" s="121">
        <v>220000</v>
      </c>
      <c r="AL73" s="8"/>
      <c r="AM73" s="71">
        <v>220000</v>
      </c>
      <c r="AN73" s="22"/>
      <c r="AO73" s="176">
        <v>220000</v>
      </c>
      <c r="AP73" s="126">
        <v>12250</v>
      </c>
      <c r="AQ73" s="8"/>
      <c r="AR73" s="8"/>
      <c r="AS73" s="8"/>
    </row>
    <row r="74" spans="1:45" x14ac:dyDescent="0.25">
      <c r="A74" s="34">
        <v>59</v>
      </c>
      <c r="B74" s="37">
        <v>165000</v>
      </c>
      <c r="C74" s="35" t="s">
        <v>205</v>
      </c>
      <c r="D74" s="66"/>
      <c r="E74" s="13"/>
      <c r="F74" s="135"/>
      <c r="G74" s="136"/>
      <c r="H74" s="177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9"/>
      <c r="V74" s="180"/>
      <c r="W74" s="181"/>
      <c r="X74" s="182"/>
      <c r="Y74" s="183"/>
      <c r="Z74" s="182"/>
      <c r="AA74" s="182"/>
      <c r="AB74" s="182"/>
      <c r="AC74" s="182"/>
      <c r="AD74" s="179"/>
      <c r="AE74" s="184"/>
      <c r="AF74" s="185"/>
      <c r="AG74" s="186"/>
      <c r="AH74" s="187"/>
      <c r="AI74" s="105">
        <v>165000</v>
      </c>
      <c r="AJ74" s="22"/>
      <c r="AK74" s="40">
        <v>165000</v>
      </c>
      <c r="AL74" s="71">
        <v>50000</v>
      </c>
      <c r="AM74" s="40">
        <v>165000</v>
      </c>
      <c r="AN74" s="22"/>
      <c r="AO74" s="125">
        <v>165000</v>
      </c>
      <c r="AP74" s="125"/>
      <c r="AQ74" s="8"/>
      <c r="AR74" s="8"/>
      <c r="AS74" s="8"/>
    </row>
    <row r="75" spans="1:45" x14ac:dyDescent="0.25">
      <c r="A75" s="34">
        <v>60</v>
      </c>
      <c r="B75" s="27">
        <v>95000</v>
      </c>
      <c r="C75" s="53" t="s">
        <v>206</v>
      </c>
      <c r="D75" s="188"/>
      <c r="E75" s="13" t="s">
        <v>10</v>
      </c>
      <c r="F75" s="27"/>
      <c r="G75" s="36"/>
      <c r="H75" s="29">
        <v>80000</v>
      </c>
      <c r="I75" s="13">
        <v>150000</v>
      </c>
      <c r="J75" s="13">
        <v>200000</v>
      </c>
      <c r="K75" s="15">
        <v>60000</v>
      </c>
      <c r="L75" s="13">
        <v>60000</v>
      </c>
      <c r="M75" s="58"/>
      <c r="N75" s="13"/>
      <c r="O75" s="56">
        <v>60000</v>
      </c>
      <c r="P75" s="56">
        <v>60000</v>
      </c>
      <c r="Q75" s="15">
        <v>60000</v>
      </c>
      <c r="R75" s="63"/>
      <c r="S75" s="63"/>
      <c r="T75" s="63">
        <v>60000</v>
      </c>
      <c r="U75" s="49">
        <v>160000</v>
      </c>
      <c r="V75" s="116"/>
      <c r="W75" s="39">
        <v>160000</v>
      </c>
      <c r="X75" s="40">
        <v>194500</v>
      </c>
      <c r="Y75" s="189">
        <v>75000</v>
      </c>
      <c r="Z75" s="40">
        <v>160000</v>
      </c>
      <c r="AA75" s="126"/>
      <c r="AB75" s="125">
        <v>85000</v>
      </c>
      <c r="AC75" s="126"/>
      <c r="AD75" s="127" t="s">
        <v>154</v>
      </c>
      <c r="AE75" s="128"/>
      <c r="AF75" s="129"/>
      <c r="AG75" s="130"/>
      <c r="AH75" s="131"/>
      <c r="AI75" s="190"/>
      <c r="AJ75" s="190"/>
      <c r="AK75" s="190"/>
      <c r="AL75" s="191"/>
      <c r="AM75" s="191"/>
      <c r="AN75" s="190"/>
      <c r="AO75" s="178"/>
      <c r="AP75" s="178"/>
      <c r="AQ75" s="191"/>
      <c r="AR75" s="191"/>
      <c r="AS75" s="191"/>
    </row>
    <row r="76" spans="1:45" x14ac:dyDescent="0.25">
      <c r="A76" s="34">
        <v>61</v>
      </c>
      <c r="B76" s="27">
        <v>95000</v>
      </c>
      <c r="C76" s="35" t="s">
        <v>66</v>
      </c>
      <c r="D76" s="87"/>
      <c r="E76" s="13" t="s">
        <v>10</v>
      </c>
      <c r="F76" s="27"/>
      <c r="G76" s="36"/>
      <c r="H76" s="29">
        <v>25000</v>
      </c>
      <c r="I76" s="13">
        <v>50000</v>
      </c>
      <c r="J76" s="13">
        <v>50000</v>
      </c>
      <c r="K76" s="15">
        <v>50000</v>
      </c>
      <c r="L76" s="13">
        <v>50000</v>
      </c>
      <c r="M76" s="13">
        <v>50000</v>
      </c>
      <c r="N76" s="13">
        <v>25000</v>
      </c>
      <c r="O76" s="13">
        <v>65000</v>
      </c>
      <c r="P76" s="13">
        <v>95000</v>
      </c>
      <c r="Q76" s="63">
        <v>95000</v>
      </c>
      <c r="R76" s="15">
        <v>95000</v>
      </c>
      <c r="S76" s="15">
        <v>95000</v>
      </c>
      <c r="T76" s="15">
        <v>95000</v>
      </c>
      <c r="U76" s="49">
        <v>42500</v>
      </c>
      <c r="V76" s="116"/>
      <c r="W76" s="39">
        <v>85000</v>
      </c>
      <c r="X76" s="40">
        <v>100000</v>
      </c>
      <c r="Y76" s="22"/>
      <c r="Z76" s="40">
        <v>100000</v>
      </c>
      <c r="AA76" s="22"/>
      <c r="AB76" s="40">
        <v>120000</v>
      </c>
      <c r="AC76" s="22"/>
      <c r="AD76" s="41">
        <v>130000</v>
      </c>
      <c r="AE76" s="117"/>
      <c r="AF76" s="40">
        <v>140000</v>
      </c>
      <c r="AG76" s="22"/>
      <c r="AH76" s="192">
        <v>70000</v>
      </c>
      <c r="AI76" s="105">
        <f>(AF76*(1+0.1))</f>
        <v>154000</v>
      </c>
      <c r="AJ76" s="22"/>
      <c r="AK76" s="40">
        <v>140000</v>
      </c>
      <c r="AL76" s="8"/>
      <c r="AM76" s="8">
        <v>154000</v>
      </c>
      <c r="AN76" s="22"/>
      <c r="AO76" s="40">
        <v>154000</v>
      </c>
      <c r="AP76" s="40">
        <v>50000</v>
      </c>
      <c r="AQ76" s="8"/>
      <c r="AR76" s="8"/>
      <c r="AS76" s="8"/>
    </row>
    <row r="77" spans="1:45" s="85" customFormat="1" x14ac:dyDescent="0.25">
      <c r="A77" s="34">
        <v>62</v>
      </c>
      <c r="B77" s="27">
        <v>110000</v>
      </c>
      <c r="C77" s="35" t="s">
        <v>36</v>
      </c>
      <c r="D77" s="66" t="s">
        <v>207</v>
      </c>
      <c r="E77" s="13" t="s">
        <v>10</v>
      </c>
      <c r="F77" s="27"/>
      <c r="G77" s="36"/>
      <c r="H77" s="29">
        <v>60000</v>
      </c>
      <c r="I77" s="13">
        <v>100000</v>
      </c>
      <c r="J77" s="13">
        <v>100000</v>
      </c>
      <c r="K77" s="15">
        <v>100000</v>
      </c>
      <c r="L77" s="13">
        <v>100000</v>
      </c>
      <c r="M77" s="13">
        <v>100000</v>
      </c>
      <c r="N77" s="13">
        <v>50000</v>
      </c>
      <c r="O77" s="13">
        <v>100000</v>
      </c>
      <c r="P77" s="13">
        <v>110000</v>
      </c>
      <c r="Q77" s="15">
        <v>110000</v>
      </c>
      <c r="R77" s="63">
        <v>110000</v>
      </c>
      <c r="S77" s="40">
        <v>110000</v>
      </c>
      <c r="T77" s="40">
        <v>110000</v>
      </c>
      <c r="U77" s="49">
        <v>55000</v>
      </c>
      <c r="V77" s="116"/>
      <c r="W77" s="39">
        <v>110000</v>
      </c>
      <c r="X77" s="40">
        <v>110000</v>
      </c>
      <c r="Y77" s="126"/>
      <c r="Z77" s="125">
        <v>110000</v>
      </c>
      <c r="AA77" s="126"/>
      <c r="AB77" s="125">
        <v>120000</v>
      </c>
      <c r="AC77" s="126"/>
      <c r="AD77" s="193">
        <v>130000</v>
      </c>
      <c r="AE77" s="147"/>
      <c r="AF77" s="125">
        <v>200000</v>
      </c>
      <c r="AG77" s="126"/>
      <c r="AH77" s="194">
        <v>100000</v>
      </c>
      <c r="AI77" s="105">
        <f>(AF77*(1+0.1))</f>
        <v>220000.00000000003</v>
      </c>
      <c r="AJ77" s="126"/>
      <c r="AK77" s="125">
        <v>220000</v>
      </c>
      <c r="AL77" s="148"/>
      <c r="AM77" s="148">
        <v>220000</v>
      </c>
      <c r="AN77" s="126"/>
      <c r="AO77" s="125">
        <v>220000</v>
      </c>
      <c r="AP77" s="125"/>
      <c r="AQ77" s="148"/>
      <c r="AR77" s="148"/>
      <c r="AS77" s="148"/>
    </row>
    <row r="78" spans="1:45" x14ac:dyDescent="0.25">
      <c r="A78" s="34">
        <v>63</v>
      </c>
      <c r="B78" s="72">
        <v>55000</v>
      </c>
      <c r="C78" s="53" t="s">
        <v>61</v>
      </c>
      <c r="D78" s="195"/>
      <c r="E78" s="196" t="s">
        <v>10</v>
      </c>
      <c r="F78" s="197"/>
      <c r="G78" s="75"/>
      <c r="H78" s="198">
        <v>50000</v>
      </c>
      <c r="I78" s="196">
        <v>75000</v>
      </c>
      <c r="J78" s="196">
        <v>75000</v>
      </c>
      <c r="K78" s="199">
        <v>75000</v>
      </c>
      <c r="L78" s="196">
        <v>75000</v>
      </c>
      <c r="M78" s="196">
        <v>35000</v>
      </c>
      <c r="N78" s="196"/>
      <c r="O78" s="196"/>
      <c r="P78" s="196"/>
      <c r="Q78" s="199"/>
      <c r="R78" s="199"/>
      <c r="S78" s="199"/>
      <c r="T78" s="200"/>
      <c r="U78" s="201"/>
      <c r="V78" s="111"/>
      <c r="W78" s="202"/>
      <c r="X78" s="203"/>
      <c r="Y78" s="204"/>
      <c r="Z78" s="204"/>
      <c r="AA78" s="204"/>
      <c r="AB78" s="204"/>
      <c r="AC78" s="204"/>
      <c r="AD78" s="204"/>
      <c r="AE78" s="204"/>
      <c r="AF78" s="203"/>
      <c r="AG78" s="204"/>
      <c r="AH78" s="205"/>
      <c r="AI78" s="107"/>
      <c r="AJ78" s="107"/>
      <c r="AK78" s="125">
        <v>150000</v>
      </c>
      <c r="AL78" s="148"/>
      <c r="AM78" s="152"/>
      <c r="AN78" s="115"/>
      <c r="AO78" s="206"/>
      <c r="AP78" s="206"/>
      <c r="AQ78" s="152"/>
      <c r="AR78" s="152"/>
      <c r="AS78" s="152"/>
    </row>
    <row r="79" spans="1:45" x14ac:dyDescent="0.25">
      <c r="A79" s="34"/>
      <c r="B79" s="27">
        <v>55000</v>
      </c>
      <c r="C79" s="53" t="s">
        <v>208</v>
      </c>
      <c r="D79" s="29" t="s">
        <v>209</v>
      </c>
      <c r="E79" s="13" t="s">
        <v>10</v>
      </c>
      <c r="F79" s="20"/>
      <c r="G79" s="26"/>
      <c r="H79" s="20"/>
      <c r="I79" s="20"/>
      <c r="J79" s="20"/>
      <c r="K79" s="12"/>
      <c r="L79" s="13">
        <v>45000</v>
      </c>
      <c r="M79" s="13">
        <v>45000</v>
      </c>
      <c r="N79" s="13">
        <v>30000</v>
      </c>
      <c r="O79" s="13">
        <v>80000</v>
      </c>
      <c r="P79" s="13">
        <v>55000</v>
      </c>
      <c r="Q79" s="15">
        <v>55000</v>
      </c>
      <c r="R79" s="63">
        <v>45000</v>
      </c>
      <c r="S79" s="67">
        <v>55000</v>
      </c>
      <c r="T79" s="67">
        <v>50000</v>
      </c>
      <c r="U79" s="40">
        <v>27500</v>
      </c>
      <c r="V79" s="207"/>
      <c r="W79" s="40">
        <v>55000</v>
      </c>
      <c r="X79" s="40">
        <v>55000</v>
      </c>
      <c r="Y79" s="22"/>
      <c r="Z79" s="40">
        <v>40000</v>
      </c>
      <c r="AA79" s="10"/>
      <c r="AB79" s="10">
        <v>75000</v>
      </c>
      <c r="AC79" s="10"/>
      <c r="AD79" s="191" t="s">
        <v>105</v>
      </c>
      <c r="AE79" s="191"/>
      <c r="AF79" s="208"/>
      <c r="AG79" s="190"/>
      <c r="AH79" s="191"/>
      <c r="AI79" s="190"/>
      <c r="AJ79" s="130"/>
      <c r="AK79" s="130"/>
      <c r="AL79" s="128"/>
      <c r="AM79" s="209"/>
      <c r="AN79" s="210"/>
      <c r="AO79" s="211"/>
      <c r="AP79" s="211"/>
      <c r="AQ79" s="209"/>
      <c r="AR79" s="209"/>
      <c r="AS79" s="209"/>
    </row>
    <row r="80" spans="1:45" s="85" customFormat="1" x14ac:dyDescent="0.25">
      <c r="A80" s="34"/>
      <c r="B80" s="212">
        <v>315000</v>
      </c>
      <c r="C80" s="53" t="s">
        <v>210</v>
      </c>
      <c r="D80" s="29"/>
      <c r="E80" s="13" t="s">
        <v>10</v>
      </c>
      <c r="F80" s="13"/>
      <c r="G80" s="26"/>
      <c r="H80" s="13"/>
      <c r="I80" s="13"/>
      <c r="J80" s="13"/>
      <c r="K80" s="12"/>
      <c r="L80" s="20">
        <v>96000</v>
      </c>
      <c r="M80" s="13"/>
      <c r="N80" s="13">
        <v>50000</v>
      </c>
      <c r="O80" s="58"/>
      <c r="P80" s="58"/>
      <c r="Q80" s="59"/>
      <c r="R80" s="59"/>
      <c r="S80" s="59"/>
      <c r="T80" s="60"/>
      <c r="U80" s="40">
        <v>50000</v>
      </c>
      <c r="V80" s="207"/>
      <c r="W80" s="40"/>
      <c r="X80" s="89"/>
      <c r="Y80" s="107"/>
      <c r="Z80" s="107"/>
      <c r="AA80" s="107"/>
      <c r="AB80" s="107"/>
      <c r="AC80" s="107"/>
      <c r="AD80" s="107"/>
      <c r="AE80" s="107"/>
      <c r="AF80" s="89"/>
      <c r="AG80" s="107"/>
      <c r="AH80" s="107"/>
      <c r="AI80" s="107"/>
      <c r="AJ80" s="213"/>
      <c r="AK80" s="214"/>
      <c r="AL80" s="215"/>
      <c r="AM80" s="216"/>
      <c r="AN80" s="217"/>
      <c r="AO80" s="218"/>
      <c r="AP80" s="218"/>
      <c r="AQ80" s="216"/>
      <c r="AR80" s="216"/>
      <c r="AS80" s="216"/>
    </row>
    <row r="81" spans="1:45" s="85" customFormat="1" x14ac:dyDescent="0.25">
      <c r="A81" s="34"/>
      <c r="B81" s="212"/>
      <c r="C81" s="35" t="s">
        <v>211</v>
      </c>
      <c r="D81" s="29"/>
      <c r="E81" s="13"/>
      <c r="F81" s="13"/>
      <c r="G81" s="26"/>
      <c r="H81" s="13"/>
      <c r="I81" s="13"/>
      <c r="J81" s="13"/>
      <c r="K81" s="12"/>
      <c r="L81" s="20"/>
      <c r="M81" s="13"/>
      <c r="N81" s="13"/>
      <c r="O81" s="58"/>
      <c r="P81" s="58"/>
      <c r="Q81" s="59"/>
      <c r="R81" s="59"/>
      <c r="S81" s="59"/>
      <c r="T81" s="60"/>
      <c r="U81" s="40"/>
      <c r="V81" s="207"/>
      <c r="W81" s="40"/>
      <c r="X81" s="89"/>
      <c r="Y81" s="107"/>
      <c r="Z81" s="107"/>
      <c r="AA81" s="107"/>
      <c r="AB81" s="107"/>
      <c r="AC81" s="107"/>
      <c r="AD81" s="107"/>
      <c r="AE81" s="107"/>
      <c r="AF81" s="89"/>
      <c r="AG81" s="107"/>
      <c r="AH81" s="107"/>
      <c r="AI81" s="107"/>
      <c r="AJ81" s="213"/>
      <c r="AK81" s="214"/>
      <c r="AL81" s="215"/>
      <c r="AM81" s="216"/>
      <c r="AN81" s="217"/>
      <c r="AO81" s="219">
        <v>220000</v>
      </c>
      <c r="AP81" s="220">
        <v>205000</v>
      </c>
      <c r="AQ81" s="221"/>
      <c r="AR81" s="221"/>
      <c r="AS81" s="221"/>
    </row>
    <row r="82" spans="1:45" x14ac:dyDescent="0.25">
      <c r="A82" s="34"/>
      <c r="B82" s="72">
        <v>315000</v>
      </c>
      <c r="C82" s="53" t="s">
        <v>212</v>
      </c>
      <c r="D82" s="222" t="s">
        <v>213</v>
      </c>
      <c r="E82" s="74" t="s">
        <v>112</v>
      </c>
      <c r="F82" s="74"/>
      <c r="G82" s="74"/>
      <c r="H82" s="74">
        <v>165400</v>
      </c>
      <c r="I82" s="74">
        <v>200000</v>
      </c>
      <c r="J82" s="74">
        <v>200000</v>
      </c>
      <c r="K82" s="77">
        <v>200000</v>
      </c>
      <c r="L82" s="74">
        <v>250000</v>
      </c>
      <c r="M82" s="74">
        <v>300000</v>
      </c>
      <c r="N82" s="81">
        <v>150000</v>
      </c>
      <c r="O82" s="74">
        <v>300000</v>
      </c>
      <c r="P82" s="74">
        <v>585000</v>
      </c>
      <c r="Q82" s="77">
        <v>401000</v>
      </c>
      <c r="R82" s="77">
        <v>315000</v>
      </c>
      <c r="S82" s="77">
        <v>362500</v>
      </c>
      <c r="T82" s="223">
        <v>315000</v>
      </c>
      <c r="U82" s="113">
        <v>155000</v>
      </c>
      <c r="V82" s="224"/>
      <c r="W82" s="83">
        <v>509000</v>
      </c>
      <c r="X82" s="77"/>
      <c r="Y82" s="81"/>
      <c r="Z82" s="77">
        <v>150000</v>
      </c>
      <c r="AA82" s="81"/>
      <c r="AB82" s="81"/>
      <c r="AC82" s="81"/>
      <c r="AD82" s="60"/>
      <c r="AE82" s="60"/>
      <c r="AF82" s="59"/>
      <c r="AG82" s="60"/>
      <c r="AH82" s="58"/>
      <c r="AI82" s="60"/>
      <c r="AJ82" s="225"/>
      <c r="AK82" s="60"/>
      <c r="AL82" s="58"/>
      <c r="AM82" s="26"/>
      <c r="AN82" s="226"/>
      <c r="AO82" s="227"/>
      <c r="AP82" s="227"/>
      <c r="AQ82" s="26"/>
      <c r="AR82" s="26"/>
      <c r="AS82" s="26"/>
    </row>
    <row r="83" spans="1:45" x14ac:dyDescent="0.25">
      <c r="A83" s="34">
        <v>63</v>
      </c>
      <c r="B83" s="212">
        <v>85000</v>
      </c>
      <c r="C83" s="44" t="s">
        <v>63</v>
      </c>
      <c r="D83" s="66"/>
      <c r="E83" s="13" t="s">
        <v>10</v>
      </c>
      <c r="F83" s="13"/>
      <c r="G83" s="26"/>
      <c r="H83" s="13">
        <v>60000</v>
      </c>
      <c r="I83" s="15">
        <v>75000</v>
      </c>
      <c r="J83" s="13">
        <v>75000</v>
      </c>
      <c r="K83" s="15">
        <v>75000</v>
      </c>
      <c r="L83" s="13">
        <v>75000</v>
      </c>
      <c r="M83" s="13">
        <v>75000</v>
      </c>
      <c r="N83" s="10">
        <v>40000</v>
      </c>
      <c r="O83" s="13">
        <v>75000</v>
      </c>
      <c r="P83" s="13">
        <v>85000</v>
      </c>
      <c r="Q83" s="15">
        <v>85000</v>
      </c>
      <c r="R83" s="15">
        <v>85000</v>
      </c>
      <c r="S83" s="15">
        <v>85000</v>
      </c>
      <c r="T83" s="15">
        <v>85000</v>
      </c>
      <c r="U83" s="40">
        <v>42500</v>
      </c>
      <c r="V83" s="207"/>
      <c r="W83" s="40">
        <v>85000</v>
      </c>
      <c r="X83" s="15">
        <v>85000</v>
      </c>
      <c r="Y83" s="10"/>
      <c r="Z83" s="68">
        <v>85000</v>
      </c>
      <c r="AA83" s="10"/>
      <c r="AB83" s="69">
        <v>100000</v>
      </c>
      <c r="AC83" s="10"/>
      <c r="AD83" s="119">
        <v>115000</v>
      </c>
      <c r="AE83" s="11"/>
      <c r="AF83" s="15">
        <v>120000</v>
      </c>
      <c r="AG83" s="10"/>
      <c r="AH83" s="228">
        <v>60000</v>
      </c>
      <c r="AI83" s="40">
        <f>(AF83*(1+0.1))</f>
        <v>132000</v>
      </c>
      <c r="AJ83" s="229"/>
      <c r="AK83" s="230">
        <v>132000</v>
      </c>
      <c r="AL83" s="231"/>
      <c r="AM83" s="232">
        <v>132000</v>
      </c>
      <c r="AN83" s="233"/>
      <c r="AO83" s="230">
        <v>132000</v>
      </c>
      <c r="AP83" s="230"/>
      <c r="AQ83" s="231"/>
      <c r="AR83" s="231"/>
      <c r="AS83" s="234"/>
    </row>
    <row r="84" spans="1:45" ht="15.75" x14ac:dyDescent="0.25">
      <c r="A84" s="235">
        <v>64</v>
      </c>
      <c r="B84" s="212">
        <v>300000</v>
      </c>
      <c r="C84" s="44" t="s">
        <v>214</v>
      </c>
      <c r="D84" s="236"/>
      <c r="E84" s="231"/>
      <c r="F84" s="231"/>
      <c r="G84" s="237"/>
      <c r="H84" s="238"/>
      <c r="I84" s="239"/>
      <c r="J84" s="239"/>
      <c r="K84" s="240"/>
      <c r="L84" s="241"/>
      <c r="M84" s="241"/>
      <c r="N84" s="241"/>
      <c r="O84" s="241"/>
      <c r="P84" s="241"/>
      <c r="Q84" s="240"/>
      <c r="R84" s="240"/>
      <c r="S84" s="242"/>
      <c r="T84" s="243"/>
      <c r="U84" s="243"/>
      <c r="V84" s="244"/>
      <c r="W84" s="245"/>
      <c r="X84" s="245"/>
      <c r="Y84" s="246"/>
      <c r="Z84" s="245"/>
      <c r="AA84" s="245"/>
      <c r="AB84" s="245"/>
      <c r="AC84" s="245"/>
      <c r="AD84" s="245"/>
      <c r="AE84" s="246"/>
      <c r="AF84" s="230">
        <v>300000</v>
      </c>
      <c r="AG84" s="233">
        <v>115000</v>
      </c>
      <c r="AH84" s="247">
        <v>150000</v>
      </c>
      <c r="AI84" s="248">
        <v>300000</v>
      </c>
      <c r="AJ84" s="249">
        <v>56000</v>
      </c>
      <c r="AK84" s="230">
        <v>300000</v>
      </c>
      <c r="AL84" s="232">
        <v>126000</v>
      </c>
      <c r="AM84" s="230">
        <v>300000</v>
      </c>
      <c r="AN84" s="233"/>
      <c r="AO84" s="232">
        <v>300000</v>
      </c>
      <c r="AP84" s="232"/>
      <c r="AQ84" s="233"/>
      <c r="AR84" s="233"/>
      <c r="AS84" s="233"/>
    </row>
    <row r="85" spans="1:45" ht="15.75" x14ac:dyDescent="0.25">
      <c r="A85" s="34"/>
      <c r="B85" s="250">
        <f>SUM(B4:B84)</f>
        <v>12596000</v>
      </c>
      <c r="C85" s="13"/>
      <c r="D85" s="13"/>
      <c r="E85" s="13" t="s">
        <v>10</v>
      </c>
      <c r="F85" s="13"/>
      <c r="G85" s="26"/>
      <c r="H85" s="251">
        <f>SUM(H4:H52)</f>
        <v>1716330</v>
      </c>
      <c r="I85" s="13">
        <f>SUM(I4:I52)</f>
        <v>3320000</v>
      </c>
      <c r="J85" s="13">
        <f>SUM(J4:J61)</f>
        <v>4266250</v>
      </c>
      <c r="K85" s="252">
        <f>SUM(K4:K61)</f>
        <v>4946875</v>
      </c>
      <c r="L85" s="253">
        <f>SUM(L4:L65)</f>
        <v>5070550</v>
      </c>
      <c r="M85" s="253">
        <f>SUM(M4:M65)</f>
        <v>5886724</v>
      </c>
      <c r="N85" s="253">
        <f>SUM(N4:N65)</f>
        <v>2965000</v>
      </c>
      <c r="O85" s="253">
        <f>SUM(O4:O70)</f>
        <v>6615400</v>
      </c>
      <c r="P85" s="253">
        <f>SUM(P4:P75)</f>
        <v>9149630</v>
      </c>
      <c r="Q85" s="252">
        <f>SUM(Q4:Q79)</f>
        <v>9050880</v>
      </c>
      <c r="R85" s="252">
        <f>SUM(R4:R79)</f>
        <v>8950500</v>
      </c>
      <c r="S85" s="15">
        <f>SUM(S4:S82)</f>
        <v>9492250</v>
      </c>
      <c r="T85" s="254">
        <f>SUM(T4:T83)</f>
        <v>9295386</v>
      </c>
      <c r="U85" s="254">
        <f>SUM(U4:U84)</f>
        <v>5010500</v>
      </c>
      <c r="V85" s="207"/>
      <c r="W85" s="70">
        <f>SUM(W2:W84)</f>
        <v>10005050</v>
      </c>
      <c r="X85" s="70">
        <f>SUM(X2:X84)</f>
        <v>12498500</v>
      </c>
      <c r="Y85" s="11"/>
      <c r="Z85" s="70">
        <f>SUM(Z2:Z84)</f>
        <v>10619000</v>
      </c>
      <c r="AA85" s="70">
        <f>SUM(AA2:AA84)</f>
        <v>545000</v>
      </c>
      <c r="AB85" s="70">
        <f>SUM(AB2:AB84)</f>
        <v>11483300</v>
      </c>
      <c r="AC85" s="70">
        <f t="shared" ref="AC85:AS85" si="1">SUM(AC2:AC84)</f>
        <v>0</v>
      </c>
      <c r="AD85" s="70">
        <f t="shared" si="1"/>
        <v>11436000</v>
      </c>
      <c r="AE85" s="70">
        <f t="shared" si="1"/>
        <v>650000</v>
      </c>
      <c r="AF85" s="70">
        <f t="shared" si="1"/>
        <v>13048000</v>
      </c>
      <c r="AG85" s="11">
        <f>SUM(AG6:AG84,AG2:AG3)</f>
        <v>2714500</v>
      </c>
      <c r="AH85" s="70">
        <f t="shared" si="1"/>
        <v>6926350</v>
      </c>
      <c r="AI85" s="11">
        <f t="shared" si="1"/>
        <v>14200000</v>
      </c>
      <c r="AJ85" s="11"/>
      <c r="AK85" s="11">
        <f t="shared" si="1"/>
        <v>14793493.92</v>
      </c>
      <c r="AL85" s="70">
        <f t="shared" si="1"/>
        <v>2169250</v>
      </c>
      <c r="AM85" s="70">
        <f t="shared" si="1"/>
        <v>14228243.92</v>
      </c>
      <c r="AN85" s="11">
        <f t="shared" si="1"/>
        <v>2072000</v>
      </c>
      <c r="AO85" s="11">
        <f t="shared" si="1"/>
        <v>14735993.92</v>
      </c>
      <c r="AP85" s="11"/>
      <c r="AQ85" s="70">
        <f t="shared" si="1"/>
        <v>0</v>
      </c>
      <c r="AR85" s="70">
        <f t="shared" si="1"/>
        <v>0</v>
      </c>
      <c r="AS85" s="70">
        <f t="shared" si="1"/>
        <v>0</v>
      </c>
    </row>
    <row r="86" spans="1:45" x14ac:dyDescent="0.25">
      <c r="C86" s="255"/>
      <c r="D86" s="255"/>
      <c r="E86" s="255"/>
      <c r="F86" s="255"/>
      <c r="G86" s="256"/>
      <c r="H86" s="255"/>
      <c r="I86" s="255"/>
      <c r="J86" s="257"/>
      <c r="K86" s="257"/>
      <c r="L86" s="257"/>
      <c r="M86" s="257"/>
      <c r="N86" s="257"/>
      <c r="O86" s="257"/>
      <c r="P86" s="255"/>
      <c r="Q86" s="257"/>
      <c r="R86" s="257"/>
      <c r="S86" s="258"/>
      <c r="T86" s="259"/>
      <c r="AA86" s="261"/>
      <c r="AF86" s="263"/>
      <c r="AG86" s="264"/>
    </row>
    <row r="87" spans="1:45" x14ac:dyDescent="0.25">
      <c r="C87" s="255"/>
      <c r="D87" s="255"/>
      <c r="E87" s="255"/>
      <c r="F87" s="255"/>
      <c r="G87" s="256"/>
      <c r="H87" s="255"/>
      <c r="I87" s="255"/>
      <c r="J87" s="257"/>
      <c r="K87" s="257"/>
      <c r="L87" s="257"/>
      <c r="M87" s="257"/>
      <c r="N87" s="257"/>
      <c r="O87" s="257"/>
      <c r="P87" s="255"/>
      <c r="Q87" s="257"/>
      <c r="R87" s="257"/>
      <c r="S87" s="258"/>
      <c r="T87" s="259"/>
    </row>
    <row r="88" spans="1:45" x14ac:dyDescent="0.25">
      <c r="A88" s="266"/>
      <c r="B88" s="13" t="s">
        <v>215</v>
      </c>
      <c r="C88" s="267"/>
      <c r="D88" s="255"/>
      <c r="E88" s="255"/>
      <c r="F88" s="255"/>
      <c r="G88" s="256"/>
      <c r="H88" s="255"/>
      <c r="I88" s="255"/>
      <c r="J88" s="257"/>
      <c r="K88" s="257"/>
      <c r="L88" s="257"/>
      <c r="M88" s="257"/>
      <c r="N88" s="257"/>
      <c r="O88" s="257"/>
      <c r="P88" s="255"/>
      <c r="Q88" s="257"/>
      <c r="R88" s="257"/>
      <c r="S88" s="258"/>
      <c r="T88" s="259"/>
      <c r="AF88" s="263"/>
      <c r="AG88" s="264"/>
      <c r="AO88" s="3">
        <f>SUM(AO6,AO26,AO31,AO45,AO46)</f>
        <v>500000</v>
      </c>
      <c r="AP88" s="3"/>
      <c r="AQ88" s="3">
        <f>SUM(AQ6,AQ26,AQ31,AQ45,AQ46)</f>
        <v>0</v>
      </c>
      <c r="AR88" s="3">
        <f>SUM(AR6,AR26,AR31,AR45,AR46)</f>
        <v>0</v>
      </c>
    </row>
    <row r="89" spans="1:45" x14ac:dyDescent="0.25">
      <c r="A89" s="268"/>
      <c r="B89" s="13" t="s">
        <v>216</v>
      </c>
      <c r="C89" s="267"/>
      <c r="D89" s="255"/>
      <c r="E89" s="255"/>
      <c r="F89" s="255"/>
      <c r="G89" s="256"/>
      <c r="H89" s="255"/>
      <c r="I89" s="255"/>
      <c r="J89" s="257"/>
      <c r="K89" s="257"/>
      <c r="L89" s="257"/>
      <c r="M89" s="257"/>
      <c r="N89" s="257"/>
      <c r="O89" s="257"/>
      <c r="P89" s="255"/>
      <c r="Q89" s="257"/>
      <c r="R89" s="257"/>
      <c r="S89" s="258"/>
      <c r="T89" s="259"/>
      <c r="AO89" s="3">
        <f>SUM(AO2,AO11,AO16,AO18:AO21,AO17,AO12:AO13,AO9,AO24:AO25,AO28:AO30,AO32:AO35,AO37:AO39,AO41:AO43,AO47:AO49,AO51,AO54:AO56,AO58:AO59,AO62,AO67,AO69:AO74,AO68,AO76,AO77,AO83)</f>
        <v>12033493.92</v>
      </c>
      <c r="AP89" s="3"/>
      <c r="AQ89" s="3">
        <f>SUM(AQ2,AQ11,AQ16,AQ18:AQ21,AQ17,AQ12:AQ13,AQ9,AQ24:AQ25,AQ28:AQ30,AQ32:AQ35,AQ37:AQ39,AQ41:AQ43,AQ47:AQ49,AQ51,AQ54:AQ56,AQ58:AQ59,AQ62,AQ67,AQ69:AQ74,AQ68,AQ76,AQ77,AQ83)</f>
        <v>0</v>
      </c>
      <c r="AR89" s="3">
        <f>SUM(AR2,AR11,AR16,AR18:AR21,AR17,AR12:AR13,AR9,AR24:AR25,AR28:AR30,AR32:AR35,AR37:AR39,AR41:AR43,AR47:AR49,AR51,AR54:AR56,AR58:AR59,AR62,AR67,AR69:AR74,AR68,AR76,AR77,AR83)</f>
        <v>0</v>
      </c>
    </row>
    <row r="90" spans="1:45" x14ac:dyDescent="0.25">
      <c r="A90" s="171"/>
      <c r="B90" s="13" t="s">
        <v>217</v>
      </c>
      <c r="C90" s="25"/>
      <c r="P90" s="1"/>
      <c r="AO90" s="8"/>
      <c r="AP90" s="8"/>
      <c r="AQ90" s="8"/>
      <c r="AR90" s="8"/>
    </row>
    <row r="91" spans="1:45" x14ac:dyDescent="0.25">
      <c r="A91" s="270"/>
      <c r="B91" s="13" t="s">
        <v>218</v>
      </c>
      <c r="C91" s="25"/>
      <c r="P91" s="1"/>
      <c r="AO91" s="8">
        <f>SUM(AO9,AO12:AO13,AO17,AO25,AO28:AO29,AO34,AO38,AO41:AO42,AO55:AO56,AO58:AO59)</f>
        <v>5339000</v>
      </c>
      <c r="AP91" s="8"/>
      <c r="AQ91" s="8">
        <f>SUM(AQ9,AQ12:AQ13,AQ17,AQ25,AQ28:AQ29,AQ34,AQ38,AQ41:AQ42,AQ55:AQ56,AQ58:AQ59)</f>
        <v>0</v>
      </c>
      <c r="AR91" s="8">
        <f>SUM(AR9,AR12:AR13,AR17,AR25,AR28:AR29,AR34,AR38,AR41:AR42,AR55:AR56,AR58:AR59)</f>
        <v>0</v>
      </c>
    </row>
    <row r="92" spans="1:45" x14ac:dyDescent="0.25">
      <c r="A92" s="271"/>
      <c r="B92" s="13" t="s">
        <v>219</v>
      </c>
      <c r="C92" s="25"/>
      <c r="P92" s="1"/>
      <c r="AO92" s="8">
        <f>SUM(AO3,AO5,AO8,AO40,AO42,AO64,AO71,AO74,AO73,,AO83,AO84)</f>
        <v>3962000</v>
      </c>
      <c r="AP92" s="8"/>
      <c r="AQ92" s="8">
        <f>SUM(AQ3,AQ5,AQ8,AQ40,AQ42,AQ64,AQ71,AQ74,AQ73,,AQ83,AQ84)</f>
        <v>0</v>
      </c>
      <c r="AR92" s="8">
        <f>SUM(AR3,AR5,AR8,AR40,AR42,AR64,AR71,AR74,AR73,,AR83,AR84)</f>
        <v>0</v>
      </c>
    </row>
  </sheetData>
  <mergeCells count="1">
    <mergeCell ref="AD4:A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1BD5-422E-43F6-B414-C5A8481E7E94}">
  <dimension ref="A1:AF144"/>
  <sheetViews>
    <sheetView topLeftCell="A37" zoomScale="70" zoomScaleNormal="70" workbookViewId="0">
      <selection sqref="A1:XFD1048576"/>
    </sheetView>
  </sheetViews>
  <sheetFormatPr baseColWidth="10" defaultColWidth="10.7109375" defaultRowHeight="15" x14ac:dyDescent="0.25"/>
  <cols>
    <col min="1" max="1" width="23" bestFit="1" customWidth="1"/>
    <col min="2" max="13" width="2.7109375" hidden="1" customWidth="1"/>
    <col min="14" max="14" width="17.7109375" style="272" customWidth="1"/>
    <col min="15" max="17" width="4" hidden="1" customWidth="1"/>
    <col min="18" max="18" width="16.42578125" hidden="1" customWidth="1"/>
    <col min="19" max="19" width="15.28515625" hidden="1" customWidth="1"/>
    <col min="20" max="22" width="15.28515625" bestFit="1" customWidth="1"/>
    <col min="23" max="23" width="8.42578125" customWidth="1"/>
    <col min="24" max="24" width="15.28515625" bestFit="1" customWidth="1"/>
    <col min="25" max="25" width="13.5703125" bestFit="1" customWidth="1"/>
    <col min="30" max="30" width="14.140625" bestFit="1" customWidth="1"/>
  </cols>
  <sheetData>
    <row r="1" spans="1:27" x14ac:dyDescent="0.25">
      <c r="A1" s="18"/>
      <c r="B1" s="7" t="s">
        <v>220</v>
      </c>
      <c r="C1" s="7" t="s">
        <v>87</v>
      </c>
      <c r="D1" s="7" t="s">
        <v>88</v>
      </c>
      <c r="E1" s="7" t="s">
        <v>89</v>
      </c>
      <c r="F1" s="7" t="s">
        <v>90</v>
      </c>
      <c r="G1" s="7" t="s">
        <v>91</v>
      </c>
      <c r="H1" s="7" t="s">
        <v>93</v>
      </c>
      <c r="I1" s="7" t="s">
        <v>94</v>
      </c>
      <c r="J1" s="7" t="s">
        <v>95</v>
      </c>
      <c r="K1" s="7" t="s">
        <v>96</v>
      </c>
      <c r="L1" s="7" t="s">
        <v>97</v>
      </c>
      <c r="M1" s="7" t="s">
        <v>86</v>
      </c>
      <c r="O1" s="273" t="s">
        <v>220</v>
      </c>
      <c r="P1" s="7" t="s">
        <v>87</v>
      </c>
      <c r="Q1" s="7" t="s">
        <v>88</v>
      </c>
      <c r="R1" s="7" t="s">
        <v>89</v>
      </c>
      <c r="S1" s="7" t="s">
        <v>90</v>
      </c>
      <c r="T1" s="7" t="s">
        <v>91</v>
      </c>
      <c r="U1" s="7" t="s">
        <v>93</v>
      </c>
      <c r="V1" s="7" t="s">
        <v>94</v>
      </c>
      <c r="W1" s="7"/>
      <c r="X1" s="7" t="s">
        <v>95</v>
      </c>
      <c r="Y1" s="7" t="s">
        <v>96</v>
      </c>
      <c r="Z1" s="7" t="s">
        <v>97</v>
      </c>
      <c r="AA1" s="7" t="s">
        <v>86</v>
      </c>
    </row>
    <row r="2" spans="1:27" x14ac:dyDescent="0.25">
      <c r="A2" s="12" t="s">
        <v>221</v>
      </c>
      <c r="B2" s="13">
        <v>169000</v>
      </c>
      <c r="C2" s="8">
        <v>169000</v>
      </c>
      <c r="D2" s="8">
        <v>400000</v>
      </c>
      <c r="E2" s="8">
        <v>475000</v>
      </c>
      <c r="F2" s="8">
        <v>400000</v>
      </c>
      <c r="G2" s="8">
        <v>245000</v>
      </c>
      <c r="H2" s="40">
        <v>400000</v>
      </c>
      <c r="I2" s="8">
        <v>400000</v>
      </c>
      <c r="J2" s="40">
        <v>400000</v>
      </c>
      <c r="K2" s="8">
        <v>400000</v>
      </c>
      <c r="L2" s="8">
        <v>485000</v>
      </c>
      <c r="M2" s="40">
        <v>450000</v>
      </c>
      <c r="N2" s="12" t="s">
        <v>221</v>
      </c>
      <c r="O2" s="40">
        <v>450000</v>
      </c>
      <c r="P2" s="40">
        <v>450000</v>
      </c>
      <c r="Q2" s="40">
        <v>450000</v>
      </c>
      <c r="R2" s="40">
        <v>450000</v>
      </c>
      <c r="S2" s="40">
        <v>470000</v>
      </c>
      <c r="T2" s="40">
        <v>800000</v>
      </c>
      <c r="U2" s="40">
        <v>800000</v>
      </c>
      <c r="V2" s="8">
        <v>800000</v>
      </c>
      <c r="W2" s="8"/>
      <c r="X2" s="8">
        <v>800000</v>
      </c>
      <c r="Y2" s="40">
        <v>800000</v>
      </c>
      <c r="Z2" s="8"/>
      <c r="AA2" s="8"/>
    </row>
    <row r="3" spans="1:27" x14ac:dyDescent="0.25">
      <c r="A3" s="12" t="s">
        <v>222</v>
      </c>
      <c r="B3" s="13">
        <v>250000</v>
      </c>
      <c r="C3" s="8">
        <v>225000</v>
      </c>
      <c r="D3" s="8">
        <v>225000</v>
      </c>
      <c r="E3" s="8">
        <v>225000</v>
      </c>
      <c r="F3" s="8">
        <v>250000</v>
      </c>
      <c r="G3" s="8"/>
      <c r="H3" s="40">
        <v>269999.99</v>
      </c>
      <c r="I3" s="8">
        <v>250000</v>
      </c>
      <c r="J3" s="40">
        <v>250000</v>
      </c>
      <c r="K3" s="8">
        <v>250000</v>
      </c>
      <c r="L3" s="8">
        <v>275000</v>
      </c>
      <c r="M3" s="40">
        <v>250000</v>
      </c>
      <c r="N3" s="12" t="s">
        <v>222</v>
      </c>
      <c r="O3" s="40">
        <v>250000</v>
      </c>
      <c r="P3" s="40">
        <v>250000</v>
      </c>
      <c r="Q3" s="40">
        <v>250000</v>
      </c>
      <c r="R3" s="40">
        <v>250000</v>
      </c>
      <c r="S3" s="40">
        <v>270000</v>
      </c>
      <c r="T3" s="40">
        <v>400000</v>
      </c>
      <c r="U3" s="40">
        <v>500000</v>
      </c>
      <c r="V3" s="8">
        <v>500000</v>
      </c>
      <c r="W3" s="8"/>
      <c r="X3" s="8">
        <v>500000</v>
      </c>
      <c r="Y3" s="40">
        <v>500000</v>
      </c>
      <c r="Z3" s="8"/>
      <c r="AA3" s="8"/>
    </row>
    <row r="4" spans="1:27" x14ac:dyDescent="0.25">
      <c r="A4" s="12" t="s">
        <v>223</v>
      </c>
      <c r="B4" s="8">
        <v>553200</v>
      </c>
      <c r="C4" s="1">
        <v>482000</v>
      </c>
      <c r="D4" s="8"/>
      <c r="E4" s="8"/>
      <c r="F4" s="8">
        <v>486000</v>
      </c>
      <c r="G4" s="8"/>
      <c r="H4" s="40">
        <v>545000</v>
      </c>
      <c r="I4" s="40">
        <v>506210</v>
      </c>
      <c r="J4" s="40">
        <v>381000</v>
      </c>
      <c r="K4" s="22">
        <v>576400</v>
      </c>
      <c r="L4" s="8">
        <v>576400</v>
      </c>
      <c r="M4" s="40">
        <v>449000</v>
      </c>
      <c r="N4" s="12" t="s">
        <v>223</v>
      </c>
      <c r="O4" s="40">
        <v>457000</v>
      </c>
      <c r="P4" s="40">
        <v>790000</v>
      </c>
      <c r="Q4" s="40">
        <v>568400</v>
      </c>
      <c r="R4" s="40"/>
      <c r="S4" s="40">
        <v>1331000</v>
      </c>
      <c r="T4" s="40"/>
      <c r="U4" s="40">
        <v>1423000</v>
      </c>
      <c r="V4" s="8"/>
      <c r="W4" s="8"/>
      <c r="X4" s="8"/>
      <c r="Y4" s="8"/>
      <c r="Z4" s="8"/>
      <c r="AA4" s="8"/>
    </row>
    <row r="5" spans="1:27" x14ac:dyDescent="0.25">
      <c r="A5" s="231" t="s">
        <v>224</v>
      </c>
      <c r="B5" s="231">
        <v>80000</v>
      </c>
      <c r="C5" s="231">
        <v>80000</v>
      </c>
      <c r="D5" s="215"/>
      <c r="E5" s="215"/>
      <c r="F5" s="215"/>
      <c r="G5" s="274">
        <v>100000</v>
      </c>
      <c r="H5" s="248">
        <v>100000</v>
      </c>
      <c r="I5" s="274">
        <v>100000</v>
      </c>
      <c r="J5" s="248">
        <v>100000</v>
      </c>
      <c r="K5" s="274">
        <v>100000</v>
      </c>
      <c r="L5" s="274">
        <v>100000</v>
      </c>
      <c r="M5" s="40">
        <v>125000</v>
      </c>
      <c r="N5" s="231" t="s">
        <v>224</v>
      </c>
      <c r="O5" s="40">
        <v>125000</v>
      </c>
      <c r="P5" s="40">
        <v>125000</v>
      </c>
      <c r="Q5" s="40">
        <v>125000</v>
      </c>
      <c r="R5" s="40">
        <v>125000</v>
      </c>
      <c r="S5" s="40">
        <v>135000</v>
      </c>
      <c r="T5" s="40">
        <v>135000</v>
      </c>
      <c r="U5" s="40">
        <v>135000</v>
      </c>
      <c r="V5" s="8">
        <v>135000</v>
      </c>
      <c r="W5" s="8"/>
      <c r="X5" s="8">
        <v>135000</v>
      </c>
      <c r="Y5" s="40">
        <v>135000</v>
      </c>
      <c r="Z5" s="8"/>
      <c r="AA5" s="8"/>
    </row>
    <row r="6" spans="1:27" x14ac:dyDescent="0.25">
      <c r="A6" s="13" t="s">
        <v>225</v>
      </c>
      <c r="B6" s="13">
        <v>200000</v>
      </c>
      <c r="C6" s="8">
        <v>200000</v>
      </c>
      <c r="D6" s="8">
        <v>280000</v>
      </c>
      <c r="E6" s="8">
        <v>200000</v>
      </c>
      <c r="F6" s="8">
        <v>200000</v>
      </c>
      <c r="G6" s="8">
        <v>400000</v>
      </c>
      <c r="H6" s="40">
        <v>400000</v>
      </c>
      <c r="I6" s="8">
        <v>400000</v>
      </c>
      <c r="J6" s="40">
        <v>500000</v>
      </c>
      <c r="K6" s="8">
        <v>500000</v>
      </c>
      <c r="L6" s="8">
        <v>400000</v>
      </c>
      <c r="M6" s="40">
        <v>400000</v>
      </c>
      <c r="N6" s="13" t="s">
        <v>225</v>
      </c>
      <c r="O6" s="40">
        <v>400000</v>
      </c>
      <c r="P6" s="40">
        <v>400000</v>
      </c>
      <c r="Q6" s="40">
        <v>400000</v>
      </c>
      <c r="R6" s="40">
        <v>400000</v>
      </c>
      <c r="S6" s="40">
        <v>500000</v>
      </c>
      <c r="T6" s="40">
        <v>600000</v>
      </c>
      <c r="U6" s="40">
        <v>700000</v>
      </c>
      <c r="V6" s="40">
        <v>500000</v>
      </c>
      <c r="W6" s="40"/>
      <c r="X6" s="8">
        <v>700000</v>
      </c>
      <c r="Y6" s="40">
        <v>500000</v>
      </c>
      <c r="Z6" s="8"/>
      <c r="AA6" s="8"/>
    </row>
    <row r="7" spans="1:27" x14ac:dyDescent="0.25">
      <c r="A7" s="20" t="s">
        <v>226</v>
      </c>
      <c r="B7" s="13">
        <v>273000</v>
      </c>
      <c r="C7" s="8">
        <v>165000</v>
      </c>
      <c r="D7" s="8">
        <v>150000</v>
      </c>
      <c r="E7" s="8">
        <v>180000</v>
      </c>
      <c r="F7" s="8">
        <v>228000</v>
      </c>
      <c r="G7" s="8">
        <v>198000</v>
      </c>
      <c r="H7" s="40">
        <v>198000</v>
      </c>
      <c r="I7" s="8">
        <v>198000</v>
      </c>
      <c r="J7" s="40">
        <v>198000</v>
      </c>
      <c r="K7" s="8">
        <v>235800</v>
      </c>
      <c r="L7" s="8">
        <v>249291</v>
      </c>
      <c r="M7" s="40">
        <v>211891</v>
      </c>
      <c r="N7" s="20" t="s">
        <v>226</v>
      </c>
      <c r="O7" s="40">
        <v>223333</v>
      </c>
      <c r="P7" s="40">
        <v>279166</v>
      </c>
      <c r="Q7" s="40">
        <v>292846</v>
      </c>
      <c r="R7" s="40">
        <v>292846</v>
      </c>
      <c r="S7" s="40">
        <v>307195</v>
      </c>
      <c r="T7" s="105">
        <v>307195</v>
      </c>
      <c r="U7" s="40">
        <v>324091</v>
      </c>
      <c r="V7" s="40">
        <v>324091</v>
      </c>
      <c r="W7" s="40"/>
      <c r="X7" s="40">
        <v>355000</v>
      </c>
      <c r="Y7" s="40">
        <v>355500</v>
      </c>
      <c r="Z7" s="8"/>
      <c r="AA7" s="8"/>
    </row>
    <row r="8" spans="1:27" x14ac:dyDescent="0.25">
      <c r="A8" s="20" t="s">
        <v>227</v>
      </c>
      <c r="B8" s="13">
        <v>40600</v>
      </c>
      <c r="C8" s="13">
        <v>19600</v>
      </c>
      <c r="D8" s="13">
        <v>50000</v>
      </c>
      <c r="E8" s="13">
        <v>42200</v>
      </c>
      <c r="F8" s="13">
        <v>42250</v>
      </c>
      <c r="G8" s="13">
        <v>122450</v>
      </c>
      <c r="H8" s="15">
        <v>42700</v>
      </c>
      <c r="I8" s="13">
        <v>176000</v>
      </c>
      <c r="J8" s="15">
        <v>71000</v>
      </c>
      <c r="K8" s="13">
        <v>76500</v>
      </c>
      <c r="L8" s="13">
        <v>78500</v>
      </c>
      <c r="M8" s="10"/>
      <c r="N8" s="20" t="s">
        <v>227</v>
      </c>
      <c r="O8" s="40">
        <v>122000</v>
      </c>
      <c r="P8" s="40">
        <v>168300</v>
      </c>
      <c r="Q8" s="40">
        <v>119000</v>
      </c>
      <c r="R8" s="40">
        <v>119000</v>
      </c>
      <c r="S8" s="40">
        <v>119000</v>
      </c>
      <c r="T8" s="40">
        <v>117000</v>
      </c>
      <c r="U8" s="40">
        <v>117000</v>
      </c>
      <c r="V8" s="40">
        <v>121000</v>
      </c>
      <c r="W8" s="40"/>
      <c r="X8" s="40">
        <v>135000</v>
      </c>
      <c r="Y8" s="40">
        <v>137500</v>
      </c>
      <c r="Z8" s="8"/>
      <c r="AA8" s="8"/>
    </row>
    <row r="9" spans="1:27" x14ac:dyDescent="0.25">
      <c r="A9" s="20" t="s">
        <v>228</v>
      </c>
      <c r="B9" s="13"/>
      <c r="C9" s="13"/>
      <c r="D9" s="13"/>
      <c r="E9" s="13"/>
      <c r="F9" s="13"/>
      <c r="G9" s="13"/>
      <c r="H9" s="15"/>
      <c r="I9" s="13"/>
      <c r="J9" s="15"/>
      <c r="K9" s="13"/>
      <c r="L9" s="13"/>
      <c r="M9" s="10"/>
      <c r="N9" s="20"/>
      <c r="O9" s="40"/>
      <c r="P9" s="40"/>
      <c r="Q9" s="40"/>
      <c r="R9" s="40"/>
      <c r="S9" s="40"/>
      <c r="T9" s="40"/>
      <c r="U9" s="40">
        <v>908415.45</v>
      </c>
      <c r="V9" s="8">
        <v>1737085.54</v>
      </c>
      <c r="W9" s="8"/>
      <c r="X9" s="8">
        <v>2329620.77</v>
      </c>
      <c r="Y9" s="8"/>
      <c r="Z9" s="8"/>
      <c r="AA9" s="8"/>
    </row>
    <row r="10" spans="1:27" x14ac:dyDescent="0.25">
      <c r="A10" s="20" t="s">
        <v>229</v>
      </c>
      <c r="B10" s="8">
        <v>75000</v>
      </c>
      <c r="C10" s="8"/>
      <c r="D10" s="8"/>
      <c r="E10" s="8"/>
      <c r="F10" s="8"/>
      <c r="G10" s="8"/>
      <c r="H10" s="8"/>
      <c r="I10" s="8"/>
      <c r="J10" s="40">
        <v>75000</v>
      </c>
      <c r="K10" s="8">
        <v>75000</v>
      </c>
      <c r="L10" s="8">
        <v>75000</v>
      </c>
      <c r="M10" s="40">
        <v>75000</v>
      </c>
      <c r="N10" s="20" t="s">
        <v>229</v>
      </c>
      <c r="O10" s="40">
        <v>75000</v>
      </c>
      <c r="P10" s="40">
        <v>85000</v>
      </c>
      <c r="Q10" s="40">
        <v>85000</v>
      </c>
      <c r="R10" s="40">
        <v>85000</v>
      </c>
      <c r="S10" s="40">
        <v>95000</v>
      </c>
      <c r="T10" s="40">
        <v>100000</v>
      </c>
      <c r="U10" s="40">
        <v>110000</v>
      </c>
      <c r="V10" s="8">
        <v>110000</v>
      </c>
      <c r="W10" s="8"/>
      <c r="X10" s="8">
        <v>110000</v>
      </c>
      <c r="Y10" s="40">
        <v>110000</v>
      </c>
      <c r="Z10" s="8"/>
      <c r="AA10" s="8"/>
    </row>
    <row r="11" spans="1:27" x14ac:dyDescent="0.25">
      <c r="A11" s="20" t="s">
        <v>230</v>
      </c>
      <c r="B11" s="8"/>
      <c r="C11" s="8"/>
      <c r="D11" s="8"/>
      <c r="E11" s="8">
        <v>4450600</v>
      </c>
      <c r="F11" s="8">
        <v>2364460</v>
      </c>
      <c r="G11" s="8">
        <v>2510000</v>
      </c>
      <c r="H11" s="8">
        <v>1493000</v>
      </c>
      <c r="I11" s="8"/>
      <c r="J11" s="8">
        <v>3368400</v>
      </c>
      <c r="K11" s="8">
        <v>1802300</v>
      </c>
      <c r="L11" s="8"/>
      <c r="M11" s="22"/>
      <c r="N11" s="20" t="s">
        <v>231</v>
      </c>
      <c r="O11" s="40">
        <v>3912800</v>
      </c>
      <c r="P11" s="40">
        <v>4982700</v>
      </c>
      <c r="Q11" s="40">
        <v>501520</v>
      </c>
      <c r="R11" s="39">
        <v>6301900</v>
      </c>
      <c r="S11" s="40">
        <v>3171399.99</v>
      </c>
      <c r="T11" s="105">
        <v>3183400</v>
      </c>
      <c r="U11" s="40"/>
      <c r="V11" s="40">
        <v>5000000</v>
      </c>
      <c r="W11" s="22">
        <v>1894900</v>
      </c>
      <c r="X11" s="40">
        <v>5445600</v>
      </c>
      <c r="Y11" s="8"/>
      <c r="Z11" s="8"/>
      <c r="AA11" s="8"/>
    </row>
    <row r="12" spans="1:27" x14ac:dyDescent="0.25">
      <c r="A12" s="20" t="s">
        <v>232</v>
      </c>
      <c r="B12" s="8"/>
      <c r="C12" s="8"/>
      <c r="D12" s="8"/>
      <c r="E12" s="8"/>
      <c r="F12" s="8"/>
      <c r="G12" s="8"/>
      <c r="H12" s="22"/>
      <c r="I12" s="8"/>
      <c r="J12" s="40"/>
      <c r="K12" s="8">
        <v>157038.71</v>
      </c>
      <c r="L12" s="8">
        <v>142057.65</v>
      </c>
      <c r="M12" s="22"/>
      <c r="N12" s="20" t="s">
        <v>232</v>
      </c>
      <c r="O12" s="40"/>
      <c r="P12" s="22"/>
      <c r="Q12" s="8">
        <v>112873.83</v>
      </c>
      <c r="R12" s="22"/>
      <c r="S12" s="22"/>
      <c r="T12" s="40" t="s">
        <v>233</v>
      </c>
      <c r="U12" s="40">
        <v>279904</v>
      </c>
      <c r="V12" s="8">
        <v>296500.69</v>
      </c>
      <c r="W12" s="8"/>
      <c r="X12" s="8"/>
      <c r="Y12" s="8"/>
      <c r="Z12" s="8"/>
      <c r="AA12" s="8"/>
    </row>
    <row r="13" spans="1:27" x14ac:dyDescent="0.25">
      <c r="A13" s="20" t="s">
        <v>234</v>
      </c>
      <c r="B13" s="8"/>
      <c r="C13" s="8">
        <v>262921.08</v>
      </c>
      <c r="D13" s="8">
        <v>110949.93</v>
      </c>
      <c r="E13" s="8">
        <v>110949.93</v>
      </c>
      <c r="F13" s="8">
        <v>143504.41</v>
      </c>
      <c r="G13" s="8">
        <v>272188.09000000003</v>
      </c>
      <c r="H13" s="40">
        <v>263912.07</v>
      </c>
      <c r="I13" s="8">
        <v>132797.5</v>
      </c>
      <c r="J13" s="40">
        <v>62038.57</v>
      </c>
      <c r="K13" s="8">
        <v>56042.7</v>
      </c>
      <c r="L13" s="8">
        <v>198368.01</v>
      </c>
      <c r="M13" s="40">
        <v>208026.16</v>
      </c>
      <c r="N13" s="20" t="s">
        <v>234</v>
      </c>
      <c r="O13" s="40">
        <v>203000</v>
      </c>
      <c r="P13" s="40">
        <v>493592.63</v>
      </c>
      <c r="Q13" s="8">
        <v>501520.71</v>
      </c>
      <c r="R13" s="40">
        <v>464211.39</v>
      </c>
      <c r="S13" s="40">
        <v>254004.43</v>
      </c>
      <c r="T13" s="40">
        <v>515053.83</v>
      </c>
      <c r="U13" s="40">
        <v>273314.8</v>
      </c>
      <c r="V13" s="22">
        <v>563821.05000000005</v>
      </c>
      <c r="W13" s="22"/>
      <c r="X13" s="8">
        <v>563821.05000000005</v>
      </c>
      <c r="Y13" s="40">
        <v>559218.88</v>
      </c>
      <c r="Z13" s="8"/>
      <c r="AA13" s="8"/>
    </row>
    <row r="14" spans="1:27" x14ac:dyDescent="0.25">
      <c r="A14" s="20" t="s">
        <v>235</v>
      </c>
      <c r="B14" s="8">
        <v>50000</v>
      </c>
      <c r="C14" s="8">
        <v>50000</v>
      </c>
      <c r="D14" s="8">
        <v>50000</v>
      </c>
      <c r="E14" s="8">
        <v>50000</v>
      </c>
      <c r="F14" s="8">
        <v>100000</v>
      </c>
      <c r="G14" s="8">
        <v>100000</v>
      </c>
      <c r="H14" s="40">
        <v>100000</v>
      </c>
      <c r="I14" s="8">
        <v>100000</v>
      </c>
      <c r="J14" s="40">
        <v>100000</v>
      </c>
      <c r="K14" s="8">
        <v>100000</v>
      </c>
      <c r="L14" s="8">
        <v>200000</v>
      </c>
      <c r="M14" s="40">
        <v>200000</v>
      </c>
      <c r="N14" s="20" t="s">
        <v>235</v>
      </c>
      <c r="O14" s="40">
        <v>200000</v>
      </c>
      <c r="P14" s="40">
        <v>200000</v>
      </c>
      <c r="Q14" s="40">
        <v>200000</v>
      </c>
      <c r="R14" s="40">
        <v>200000</v>
      </c>
      <c r="S14" s="40">
        <v>200000</v>
      </c>
      <c r="T14" s="40">
        <v>200000</v>
      </c>
      <c r="U14" s="40">
        <v>200000</v>
      </c>
      <c r="V14" s="8">
        <v>200000</v>
      </c>
      <c r="W14" s="8"/>
      <c r="X14" s="8">
        <v>200000</v>
      </c>
      <c r="Y14" s="40">
        <v>200000</v>
      </c>
      <c r="Z14" s="8"/>
      <c r="AA14" s="8"/>
    </row>
    <row r="15" spans="1:27" x14ac:dyDescent="0.25">
      <c r="A15" s="20" t="s">
        <v>236</v>
      </c>
      <c r="B15" s="8">
        <v>25000</v>
      </c>
      <c r="C15" s="8">
        <v>25000</v>
      </c>
      <c r="D15" s="8">
        <v>25000</v>
      </c>
      <c r="E15" s="8">
        <v>25000</v>
      </c>
      <c r="F15" s="8">
        <v>25000</v>
      </c>
      <c r="G15" s="8">
        <v>25000</v>
      </c>
      <c r="H15" s="40">
        <v>25000</v>
      </c>
      <c r="I15" s="8">
        <v>25000</v>
      </c>
      <c r="J15" s="40">
        <v>25000</v>
      </c>
      <c r="K15" s="8">
        <v>25000</v>
      </c>
      <c r="L15" s="8">
        <v>25000</v>
      </c>
      <c r="M15" s="40">
        <v>25000</v>
      </c>
      <c r="N15" s="20" t="s">
        <v>236</v>
      </c>
      <c r="O15" s="40">
        <v>25000</v>
      </c>
      <c r="P15" s="40">
        <v>25000</v>
      </c>
      <c r="Q15" s="40">
        <v>50000</v>
      </c>
      <c r="R15" s="22"/>
      <c r="S15" s="22"/>
      <c r="T15" s="40">
        <v>75000</v>
      </c>
      <c r="U15" s="40">
        <v>75000</v>
      </c>
      <c r="V15" s="8">
        <v>75000</v>
      </c>
      <c r="W15" s="8"/>
      <c r="X15" s="8">
        <v>95000</v>
      </c>
      <c r="Y15" s="8"/>
      <c r="Z15" s="8"/>
      <c r="AA15" s="8"/>
    </row>
    <row r="16" spans="1:27" x14ac:dyDescent="0.25">
      <c r="A16" s="20" t="s">
        <v>237</v>
      </c>
      <c r="B16" s="8"/>
      <c r="C16" s="8"/>
      <c r="D16" s="8"/>
      <c r="E16" s="8"/>
      <c r="F16" s="8"/>
      <c r="G16" s="8"/>
      <c r="H16" s="8"/>
      <c r="I16" s="40">
        <v>150000</v>
      </c>
      <c r="J16" s="40">
        <v>150000</v>
      </c>
      <c r="K16" s="8">
        <v>150000</v>
      </c>
      <c r="L16" s="8">
        <v>150000</v>
      </c>
      <c r="M16" s="40">
        <v>150000</v>
      </c>
      <c r="N16" s="20" t="s">
        <v>237</v>
      </c>
      <c r="O16" s="40">
        <v>150000</v>
      </c>
      <c r="P16" s="40">
        <v>150000</v>
      </c>
      <c r="Q16" s="40">
        <v>150000</v>
      </c>
      <c r="R16" s="40">
        <v>150000</v>
      </c>
      <c r="S16" s="40">
        <v>160000</v>
      </c>
      <c r="T16" s="40">
        <v>160000</v>
      </c>
      <c r="U16" s="40">
        <v>160000</v>
      </c>
      <c r="V16" s="8">
        <v>160000</v>
      </c>
      <c r="W16" s="8"/>
      <c r="X16" s="8">
        <v>160000</v>
      </c>
      <c r="Y16" s="40">
        <v>160000</v>
      </c>
      <c r="Z16" s="8"/>
      <c r="AA16" s="8"/>
    </row>
    <row r="17" spans="1:27" x14ac:dyDescent="0.25">
      <c r="A17" s="20" t="s">
        <v>238</v>
      </c>
      <c r="B17" s="8"/>
      <c r="C17" s="8"/>
      <c r="D17" s="8"/>
      <c r="E17" s="8"/>
      <c r="F17" s="8"/>
      <c r="G17" s="8"/>
      <c r="H17" s="8"/>
      <c r="I17" s="8">
        <v>200000</v>
      </c>
      <c r="J17" s="40">
        <v>200000</v>
      </c>
      <c r="K17" s="8">
        <v>200000</v>
      </c>
      <c r="L17" s="8">
        <v>200000</v>
      </c>
      <c r="M17" s="40">
        <v>200000</v>
      </c>
      <c r="N17" s="20" t="s">
        <v>238</v>
      </c>
      <c r="O17" s="40">
        <v>200000</v>
      </c>
      <c r="P17" s="40">
        <v>200000</v>
      </c>
      <c r="Q17" s="40">
        <v>200000</v>
      </c>
      <c r="R17" s="40">
        <v>200000</v>
      </c>
      <c r="S17" s="40">
        <v>200000</v>
      </c>
      <c r="T17" s="40">
        <v>200000</v>
      </c>
      <c r="U17" s="40">
        <v>220000</v>
      </c>
      <c r="V17" s="8">
        <v>220000</v>
      </c>
      <c r="W17" s="8"/>
      <c r="X17" s="8">
        <v>222000</v>
      </c>
      <c r="Y17" s="8">
        <v>220000</v>
      </c>
      <c r="Z17" s="8"/>
      <c r="AA17" s="8"/>
    </row>
    <row r="18" spans="1:27" x14ac:dyDescent="0.25">
      <c r="A18" s="20" t="s">
        <v>239</v>
      </c>
      <c r="B18" s="275"/>
      <c r="C18" s="275"/>
      <c r="D18" s="275"/>
      <c r="E18" s="275"/>
      <c r="F18" s="275"/>
      <c r="G18" s="275"/>
      <c r="H18" s="275"/>
      <c r="I18" s="276">
        <v>113999.97</v>
      </c>
      <c r="J18" s="248">
        <v>113999.97</v>
      </c>
      <c r="K18" s="248">
        <v>113999.97</v>
      </c>
      <c r="L18" s="248">
        <v>113999.97</v>
      </c>
      <c r="M18" s="248">
        <v>113997.99</v>
      </c>
      <c r="N18" s="277" t="s">
        <v>239</v>
      </c>
      <c r="O18" s="248">
        <v>113999.97</v>
      </c>
      <c r="P18" s="248">
        <v>113999.97</v>
      </c>
      <c r="Q18" s="248">
        <v>113999.97</v>
      </c>
      <c r="R18" s="248">
        <v>119790</v>
      </c>
      <c r="S18" s="248">
        <v>119790</v>
      </c>
      <c r="T18" s="278"/>
      <c r="U18" s="248">
        <v>239580</v>
      </c>
      <c r="V18" s="274">
        <v>119790</v>
      </c>
      <c r="W18" s="274"/>
      <c r="X18" s="248">
        <v>119790</v>
      </c>
      <c r="Y18" s="248">
        <v>119790</v>
      </c>
      <c r="Z18" s="274"/>
      <c r="AA18" s="274"/>
    </row>
    <row r="19" spans="1:27" x14ac:dyDescent="0.25">
      <c r="A19" s="20" t="s">
        <v>240</v>
      </c>
      <c r="B19" s="275"/>
      <c r="C19" s="275"/>
      <c r="D19" s="275"/>
      <c r="E19" s="275"/>
      <c r="F19" s="275"/>
      <c r="G19" s="275"/>
      <c r="H19" s="275"/>
      <c r="I19" s="276"/>
      <c r="J19" s="248"/>
      <c r="K19" s="248"/>
      <c r="L19" s="248"/>
      <c r="M19" s="248"/>
      <c r="N19" s="277"/>
      <c r="O19" s="248"/>
      <c r="P19" s="248"/>
      <c r="Q19" s="248"/>
      <c r="R19" s="248"/>
      <c r="S19" s="248"/>
      <c r="T19" s="278"/>
      <c r="U19" s="248">
        <v>183463.48</v>
      </c>
      <c r="V19" s="248">
        <v>214695.52</v>
      </c>
      <c r="W19" s="248"/>
      <c r="X19" s="274"/>
      <c r="Y19" s="274"/>
      <c r="Z19" s="274"/>
      <c r="AA19" s="274"/>
    </row>
    <row r="20" spans="1:27" x14ac:dyDescent="0.25">
      <c r="A20" s="20" t="s">
        <v>241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2"/>
      <c r="O20" s="8">
        <v>100000</v>
      </c>
      <c r="P20" s="8">
        <v>100000</v>
      </c>
      <c r="Q20" s="8">
        <v>100000</v>
      </c>
      <c r="R20" s="107"/>
      <c r="S20" s="107"/>
      <c r="T20" s="48"/>
      <c r="U20" s="107"/>
      <c r="V20" s="48"/>
      <c r="W20" s="48"/>
      <c r="X20" s="48"/>
      <c r="Y20" s="48"/>
      <c r="Z20" s="48"/>
      <c r="AA20" s="48"/>
    </row>
    <row r="21" spans="1:27" x14ac:dyDescent="0.25">
      <c r="A21" s="12" t="s">
        <v>242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2"/>
      <c r="O21" s="8"/>
      <c r="P21" s="22"/>
      <c r="Q21" s="40">
        <v>597226</v>
      </c>
      <c r="R21" s="22"/>
      <c r="S21" s="22"/>
      <c r="T21" s="8"/>
      <c r="U21" s="22"/>
      <c r="V21" s="8">
        <v>1008006</v>
      </c>
      <c r="W21" s="8"/>
      <c r="X21" s="8">
        <v>55426</v>
      </c>
      <c r="Y21" s="8"/>
      <c r="Z21" s="8"/>
      <c r="AA21" s="8"/>
    </row>
    <row r="22" spans="1:27" x14ac:dyDescent="0.25">
      <c r="A22" s="279" t="s">
        <v>243</v>
      </c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79"/>
      <c r="O22" s="281"/>
      <c r="P22" s="282"/>
      <c r="Q22" s="283"/>
      <c r="R22" s="282"/>
      <c r="S22" s="282"/>
      <c r="T22" s="281"/>
      <c r="U22" s="282"/>
      <c r="V22" s="281">
        <v>95743.42</v>
      </c>
      <c r="W22" s="281"/>
      <c r="X22" s="281">
        <v>99759.31</v>
      </c>
      <c r="Y22" s="281"/>
      <c r="Z22" s="281"/>
      <c r="AA22" s="281"/>
    </row>
    <row r="23" spans="1:27" x14ac:dyDescent="0.25">
      <c r="A23" s="279" t="s">
        <v>244</v>
      </c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79"/>
      <c r="O23" s="281"/>
      <c r="P23" s="282"/>
      <c r="Q23" s="283">
        <v>75000</v>
      </c>
      <c r="R23" s="283">
        <v>85000</v>
      </c>
      <c r="S23" s="283">
        <v>95000</v>
      </c>
      <c r="T23" s="281">
        <v>100000</v>
      </c>
      <c r="U23" s="283">
        <v>100000</v>
      </c>
      <c r="V23" s="282">
        <v>100000</v>
      </c>
      <c r="W23" s="282"/>
      <c r="X23" s="281"/>
      <c r="Y23" s="281"/>
      <c r="Z23" s="281"/>
      <c r="AA23" s="281"/>
    </row>
    <row r="24" spans="1:27" x14ac:dyDescent="0.25">
      <c r="A24" s="279" t="s">
        <v>245</v>
      </c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79"/>
      <c r="O24" s="281"/>
      <c r="P24" s="282">
        <v>75000</v>
      </c>
      <c r="Q24" s="283">
        <v>75000</v>
      </c>
      <c r="R24" s="283">
        <v>85000</v>
      </c>
      <c r="S24" s="283">
        <v>95000</v>
      </c>
      <c r="T24" s="281">
        <v>100000</v>
      </c>
      <c r="U24" s="283">
        <v>100000</v>
      </c>
      <c r="V24" s="282">
        <v>100000</v>
      </c>
      <c r="W24" s="282"/>
      <c r="X24" s="281"/>
      <c r="Y24" s="281"/>
      <c r="Z24" s="281"/>
      <c r="AA24" s="281"/>
    </row>
    <row r="25" spans="1:27" x14ac:dyDescent="0.25">
      <c r="A25" s="279" t="s">
        <v>246</v>
      </c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79"/>
      <c r="O25" s="281"/>
      <c r="P25" s="282"/>
      <c r="Q25" s="283"/>
      <c r="R25" s="283"/>
      <c r="S25" s="283"/>
      <c r="T25" s="281"/>
      <c r="U25" s="283">
        <v>100000</v>
      </c>
      <c r="V25" s="282">
        <v>100000</v>
      </c>
      <c r="W25" s="282"/>
      <c r="X25" s="281"/>
      <c r="Y25" s="281"/>
      <c r="Z25" s="281"/>
      <c r="AA25" s="281"/>
    </row>
    <row r="26" spans="1:27" x14ac:dyDescent="0.25">
      <c r="A26" s="279" t="s">
        <v>247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79"/>
      <c r="O26" s="281"/>
      <c r="P26" s="282"/>
      <c r="Q26" s="283"/>
      <c r="R26" s="283"/>
      <c r="S26" s="283"/>
      <c r="T26" s="281"/>
      <c r="U26" s="283"/>
      <c r="V26" s="283">
        <v>204000</v>
      </c>
      <c r="W26" s="283"/>
      <c r="X26" s="281"/>
      <c r="Y26" s="281"/>
      <c r="Z26" s="281"/>
      <c r="AA26" s="281"/>
    </row>
    <row r="27" spans="1:27" x14ac:dyDescent="0.25">
      <c r="A27" s="279" t="s">
        <v>248</v>
      </c>
      <c r="B27" s="280"/>
      <c r="C27" s="280"/>
      <c r="D27" s="280">
        <v>70000</v>
      </c>
      <c r="E27" s="280">
        <v>70000</v>
      </c>
      <c r="F27" s="280">
        <v>70000</v>
      </c>
      <c r="G27" s="280">
        <v>70000</v>
      </c>
      <c r="H27" s="280">
        <v>70000</v>
      </c>
      <c r="I27" s="280">
        <v>70000</v>
      </c>
      <c r="J27" s="280">
        <v>70000</v>
      </c>
      <c r="K27" s="280">
        <v>70000</v>
      </c>
      <c r="L27" s="280">
        <v>70000</v>
      </c>
      <c r="M27" s="280">
        <v>70000</v>
      </c>
      <c r="N27" s="279"/>
      <c r="O27" s="281">
        <v>70000</v>
      </c>
      <c r="P27" s="281">
        <v>70000</v>
      </c>
      <c r="Q27" s="281">
        <v>70000</v>
      </c>
      <c r="R27" s="281">
        <v>70000</v>
      </c>
      <c r="S27" s="281">
        <v>70000</v>
      </c>
      <c r="T27" s="283">
        <v>70000</v>
      </c>
      <c r="U27" s="282"/>
      <c r="V27" s="283">
        <v>70000</v>
      </c>
      <c r="W27" s="283"/>
      <c r="X27" s="284">
        <v>30000</v>
      </c>
      <c r="Y27" s="281"/>
      <c r="Z27" s="281"/>
      <c r="AA27" s="281"/>
    </row>
    <row r="28" spans="1:27" x14ac:dyDescent="0.25">
      <c r="A28" s="279" t="s">
        <v>249</v>
      </c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5">
        <v>204000</v>
      </c>
      <c r="O28" s="281"/>
      <c r="P28" s="281"/>
      <c r="Q28" s="281"/>
      <c r="R28" s="281"/>
      <c r="S28" s="281"/>
      <c r="T28" s="283"/>
      <c r="U28" s="282"/>
      <c r="V28" s="283">
        <v>204000</v>
      </c>
      <c r="W28" s="283"/>
      <c r="X28" s="282"/>
      <c r="Y28" s="283">
        <v>204000</v>
      </c>
      <c r="Z28" s="281"/>
      <c r="AA28" s="281"/>
    </row>
    <row r="29" spans="1:27" x14ac:dyDescent="0.25">
      <c r="A29" s="279" t="s">
        <v>250</v>
      </c>
      <c r="B29" s="280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5">
        <v>320000</v>
      </c>
      <c r="O29" s="281"/>
      <c r="P29" s="281"/>
      <c r="Q29" s="281"/>
      <c r="R29" s="281"/>
      <c r="S29" s="281"/>
      <c r="T29" s="283"/>
      <c r="U29" s="282"/>
      <c r="V29" s="283"/>
      <c r="W29" s="283"/>
      <c r="X29" s="283">
        <v>160000</v>
      </c>
      <c r="Y29" s="283">
        <v>320000</v>
      </c>
      <c r="Z29" s="281"/>
      <c r="AA29" s="281"/>
    </row>
    <row r="30" spans="1:27" x14ac:dyDescent="0.25">
      <c r="A30" s="279" t="s">
        <v>251</v>
      </c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5">
        <v>480000</v>
      </c>
      <c r="O30" s="281"/>
      <c r="P30" s="281"/>
      <c r="Q30" s="281"/>
      <c r="R30" s="281"/>
      <c r="S30" s="281"/>
      <c r="T30" s="286"/>
      <c r="U30" s="283">
        <v>210000</v>
      </c>
      <c r="V30" s="283">
        <v>360000</v>
      </c>
      <c r="W30" s="283"/>
      <c r="X30" s="283">
        <v>240000</v>
      </c>
      <c r="Y30" s="283">
        <v>480000</v>
      </c>
      <c r="Z30" s="281"/>
      <c r="AA30" s="281"/>
    </row>
    <row r="31" spans="1:27" x14ac:dyDescent="0.25">
      <c r="A31" s="279" t="s">
        <v>252</v>
      </c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5"/>
      <c r="O31" s="281"/>
      <c r="P31" s="281"/>
      <c r="Q31" s="281"/>
      <c r="R31" s="281"/>
      <c r="S31" s="281"/>
      <c r="T31" s="287">
        <v>132106.39000000001</v>
      </c>
      <c r="U31" s="283">
        <v>132106.39000000001</v>
      </c>
      <c r="V31" s="283">
        <v>132106.39000000001</v>
      </c>
      <c r="W31" s="283"/>
      <c r="X31" s="283">
        <v>264212.78000000003</v>
      </c>
      <c r="Y31" s="283">
        <v>162285.13</v>
      </c>
      <c r="Z31" s="281"/>
      <c r="AA31" s="281"/>
    </row>
    <row r="32" spans="1:27" x14ac:dyDescent="0.25">
      <c r="A32" s="279" t="s">
        <v>253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5">
        <v>200000</v>
      </c>
      <c r="O32" s="281"/>
      <c r="P32" s="281"/>
      <c r="Q32" s="281"/>
      <c r="R32" s="281"/>
      <c r="S32" s="281"/>
      <c r="T32" s="286"/>
      <c r="U32" s="282"/>
      <c r="V32" s="283">
        <v>150000</v>
      </c>
      <c r="W32" s="283"/>
      <c r="X32" s="283">
        <v>200000</v>
      </c>
      <c r="Y32" s="282">
        <v>75000</v>
      </c>
      <c r="Z32" s="281"/>
      <c r="AA32" s="281"/>
    </row>
    <row r="33" spans="1:32" x14ac:dyDescent="0.25">
      <c r="A33" s="288" t="s">
        <v>254</v>
      </c>
      <c r="B33" s="289">
        <f>SUM(B2:B13)</f>
        <v>1640800</v>
      </c>
      <c r="C33" s="289">
        <f>SUM(C2:C13)</f>
        <v>1603521.08</v>
      </c>
      <c r="D33" s="289">
        <f>SUM(D2:D13)</f>
        <v>1215949.93</v>
      </c>
      <c r="E33" s="289">
        <f>SUM(E2:E13,C4)</f>
        <v>6165749.9299999997</v>
      </c>
      <c r="F33" s="289">
        <v>0</v>
      </c>
      <c r="G33" s="289">
        <f>SUM(G2:G13)</f>
        <v>3847638.09</v>
      </c>
      <c r="H33" s="289">
        <f>SUM(H2:H13)</f>
        <v>3712612.06</v>
      </c>
      <c r="I33" s="289">
        <f>SUM(I2:I17)</f>
        <v>2638007.5</v>
      </c>
      <c r="J33" s="289">
        <f>SUM(J2:J18)</f>
        <v>5994438.54</v>
      </c>
      <c r="K33" s="289">
        <f>SUM(K2:K13)</f>
        <v>4229081.41</v>
      </c>
      <c r="L33" s="289">
        <f>SUM(L2:L13)</f>
        <v>2579616.66</v>
      </c>
      <c r="M33" s="289">
        <f>SUM(M2:M18)</f>
        <v>2857915.1500000004</v>
      </c>
      <c r="N33" s="279"/>
      <c r="O33" s="282">
        <f t="shared" ref="O33:T33" si="0">SUM(O2:O21)</f>
        <v>7007132.9699999997</v>
      </c>
      <c r="P33" s="282">
        <f t="shared" si="0"/>
        <v>8812758.5999999996</v>
      </c>
      <c r="Q33" s="282">
        <f t="shared" si="0"/>
        <v>4817386.51</v>
      </c>
      <c r="R33" s="282">
        <f t="shared" si="0"/>
        <v>9157747.3900000006</v>
      </c>
      <c r="S33" s="282">
        <f t="shared" si="0"/>
        <v>7332389.4199999999</v>
      </c>
      <c r="T33" s="283">
        <f t="shared" si="0"/>
        <v>6792648.8300000001</v>
      </c>
      <c r="U33" s="283">
        <f t="shared" ref="U33:AA33" si="1">SUM(U2:U32)</f>
        <v>7290875.1200000001</v>
      </c>
      <c r="V33" s="283">
        <f t="shared" si="1"/>
        <v>13600839.609999999</v>
      </c>
      <c r="W33" s="283"/>
      <c r="X33" s="283">
        <f t="shared" si="1"/>
        <v>12920229.91</v>
      </c>
      <c r="Y33" s="283">
        <f t="shared" si="1"/>
        <v>5038294.01</v>
      </c>
      <c r="Z33" s="283">
        <f t="shared" si="1"/>
        <v>0</v>
      </c>
      <c r="AA33" s="283">
        <f t="shared" si="1"/>
        <v>0</v>
      </c>
    </row>
    <row r="35" spans="1:32" x14ac:dyDescent="0.25">
      <c r="B35" s="290" t="s">
        <v>220</v>
      </c>
      <c r="C35" s="290" t="s">
        <v>87</v>
      </c>
      <c r="D35" s="290" t="s">
        <v>88</v>
      </c>
      <c r="E35" s="290" t="s">
        <v>89</v>
      </c>
      <c r="F35" s="290" t="s">
        <v>90</v>
      </c>
      <c r="G35" s="290" t="s">
        <v>91</v>
      </c>
      <c r="H35" s="290" t="s">
        <v>93</v>
      </c>
      <c r="I35" s="290" t="s">
        <v>94</v>
      </c>
      <c r="J35" s="290" t="s">
        <v>95</v>
      </c>
      <c r="K35" s="290" t="s">
        <v>96</v>
      </c>
      <c r="L35" s="290" t="s">
        <v>97</v>
      </c>
      <c r="M35" s="290" t="s">
        <v>86</v>
      </c>
      <c r="O35" s="7" t="s">
        <v>220</v>
      </c>
      <c r="P35" s="7" t="s">
        <v>87</v>
      </c>
      <c r="Q35" s="7" t="s">
        <v>88</v>
      </c>
      <c r="R35" s="7" t="s">
        <v>89</v>
      </c>
      <c r="S35" s="7" t="s">
        <v>90</v>
      </c>
      <c r="T35" s="7" t="s">
        <v>91</v>
      </c>
      <c r="U35" s="7" t="s">
        <v>93</v>
      </c>
      <c r="V35" s="7" t="s">
        <v>94</v>
      </c>
      <c r="W35" s="7"/>
      <c r="X35" s="7" t="s">
        <v>95</v>
      </c>
      <c r="Y35" s="7" t="s">
        <v>96</v>
      </c>
      <c r="Z35" s="7" t="s">
        <v>97</v>
      </c>
      <c r="AA35" s="7" t="s">
        <v>86</v>
      </c>
    </row>
    <row r="36" spans="1:32" x14ac:dyDescent="0.25">
      <c r="A36" s="20" t="s">
        <v>255</v>
      </c>
      <c r="B36" s="18"/>
      <c r="C36" s="18"/>
      <c r="D36" s="18"/>
      <c r="E36" s="18"/>
      <c r="F36" s="18"/>
      <c r="G36" s="18"/>
      <c r="H36" s="18"/>
      <c r="I36" s="18"/>
      <c r="J36" s="18"/>
      <c r="K36" s="8"/>
      <c r="L36" s="8">
        <v>15000</v>
      </c>
      <c r="M36" s="40">
        <v>15000</v>
      </c>
      <c r="N36" s="20" t="s">
        <v>255</v>
      </c>
      <c r="O36" s="8">
        <v>40000</v>
      </c>
      <c r="P36" s="40">
        <v>20000</v>
      </c>
      <c r="Q36" s="40">
        <v>20000</v>
      </c>
      <c r="R36" s="40">
        <v>20000</v>
      </c>
      <c r="S36" s="291">
        <v>30000</v>
      </c>
      <c r="T36" s="40">
        <v>40000</v>
      </c>
      <c r="U36" s="105">
        <v>40000</v>
      </c>
      <c r="V36" s="105">
        <v>40000</v>
      </c>
      <c r="W36" s="22"/>
      <c r="X36" s="40">
        <v>40000</v>
      </c>
      <c r="Y36" s="8"/>
      <c r="Z36" s="8"/>
      <c r="AA36" s="8"/>
    </row>
    <row r="37" spans="1:32" x14ac:dyDescent="0.25">
      <c r="A37" s="12" t="s">
        <v>256</v>
      </c>
      <c r="B37" s="13">
        <v>150000</v>
      </c>
      <c r="C37" s="13">
        <v>200000</v>
      </c>
      <c r="D37" s="13">
        <v>200000</v>
      </c>
      <c r="E37" s="15">
        <v>200000</v>
      </c>
      <c r="F37" s="13">
        <v>200000</v>
      </c>
      <c r="G37" s="13">
        <v>200000</v>
      </c>
      <c r="H37" s="13">
        <v>200000</v>
      </c>
      <c r="I37" s="15">
        <v>250000</v>
      </c>
      <c r="J37" s="15">
        <v>250000</v>
      </c>
      <c r="K37" s="15">
        <v>250000</v>
      </c>
      <c r="L37" s="15">
        <v>250000</v>
      </c>
      <c r="M37" s="15">
        <v>250000</v>
      </c>
      <c r="N37" s="12" t="s">
        <v>256</v>
      </c>
      <c r="O37" s="8">
        <v>250000</v>
      </c>
      <c r="P37" s="40">
        <v>300000</v>
      </c>
      <c r="Q37" s="40">
        <v>300000</v>
      </c>
      <c r="R37" s="40">
        <v>300000</v>
      </c>
      <c r="S37" s="40">
        <v>300000</v>
      </c>
      <c r="T37" s="40">
        <v>300000</v>
      </c>
      <c r="U37" s="105">
        <v>300000</v>
      </c>
      <c r="V37" s="105">
        <v>300000</v>
      </c>
      <c r="W37" s="22"/>
      <c r="X37" s="40">
        <v>300000</v>
      </c>
      <c r="Y37" s="8"/>
      <c r="Z37" s="8"/>
      <c r="AA37" s="8"/>
    </row>
    <row r="38" spans="1:32" x14ac:dyDescent="0.25">
      <c r="A38" s="12" t="s">
        <v>257</v>
      </c>
      <c r="B38" s="13"/>
      <c r="C38" s="13">
        <v>160000</v>
      </c>
      <c r="D38" s="13">
        <v>160000</v>
      </c>
      <c r="E38" s="15">
        <v>160000</v>
      </c>
      <c r="F38" s="13">
        <v>260000</v>
      </c>
      <c r="G38" s="13">
        <v>260000</v>
      </c>
      <c r="H38" s="13">
        <v>260000</v>
      </c>
      <c r="I38" s="15">
        <v>260000</v>
      </c>
      <c r="J38" s="15">
        <v>260000</v>
      </c>
      <c r="K38" s="15">
        <v>510000</v>
      </c>
      <c r="L38" s="15">
        <v>300000</v>
      </c>
      <c r="M38" s="15">
        <v>300000</v>
      </c>
      <c r="N38" s="12" t="s">
        <v>257</v>
      </c>
      <c r="O38" s="8">
        <v>300000</v>
      </c>
      <c r="P38" s="40">
        <v>300000</v>
      </c>
      <c r="Q38" s="40">
        <v>300000</v>
      </c>
      <c r="R38" s="40">
        <v>300000</v>
      </c>
      <c r="S38" s="40">
        <v>300000</v>
      </c>
      <c r="T38" s="40">
        <v>300000</v>
      </c>
      <c r="U38" s="105">
        <v>300000</v>
      </c>
      <c r="V38" s="105">
        <v>300000</v>
      </c>
      <c r="W38" s="22"/>
      <c r="X38" s="40">
        <v>300000</v>
      </c>
      <c r="Y38" s="8"/>
      <c r="Z38" s="8"/>
      <c r="AA38" s="8"/>
    </row>
    <row r="39" spans="1:32" x14ac:dyDescent="0.25">
      <c r="A39" s="144" t="s">
        <v>258</v>
      </c>
      <c r="B39" s="15">
        <v>5000</v>
      </c>
      <c r="C39" s="15">
        <v>5000</v>
      </c>
      <c r="D39" s="15">
        <v>5000</v>
      </c>
      <c r="E39" s="15">
        <v>5000</v>
      </c>
      <c r="F39" s="15">
        <v>5000</v>
      </c>
      <c r="G39" s="15">
        <v>10000</v>
      </c>
      <c r="H39" s="15">
        <v>10000</v>
      </c>
      <c r="I39" s="15">
        <v>10000</v>
      </c>
      <c r="J39" s="15">
        <v>10000</v>
      </c>
      <c r="K39" s="15">
        <v>10000</v>
      </c>
      <c r="L39" s="15">
        <v>40000</v>
      </c>
      <c r="M39" s="15">
        <v>40000</v>
      </c>
      <c r="N39" s="144" t="s">
        <v>258</v>
      </c>
      <c r="O39" s="8">
        <v>40000</v>
      </c>
      <c r="P39" s="40">
        <v>40000</v>
      </c>
      <c r="Q39" s="40">
        <v>50000</v>
      </c>
      <c r="R39" s="40">
        <v>50000</v>
      </c>
      <c r="S39" s="40">
        <v>50000</v>
      </c>
      <c r="T39" s="40">
        <v>70000</v>
      </c>
      <c r="U39" s="105">
        <v>70000</v>
      </c>
      <c r="V39" s="105">
        <v>70000</v>
      </c>
      <c r="W39" s="22"/>
      <c r="X39" s="40">
        <v>70000</v>
      </c>
      <c r="Y39" s="8"/>
      <c r="Z39" s="8"/>
      <c r="AA39" s="8"/>
    </row>
    <row r="40" spans="1:32" x14ac:dyDescent="0.25">
      <c r="A40" s="12" t="s">
        <v>259</v>
      </c>
      <c r="B40" s="13"/>
      <c r="C40" s="13"/>
      <c r="D40" s="13"/>
      <c r="E40" s="15">
        <v>8000</v>
      </c>
      <c r="F40" s="13">
        <v>8000</v>
      </c>
      <c r="G40" s="13">
        <v>10000</v>
      </c>
      <c r="H40" s="13">
        <v>10000</v>
      </c>
      <c r="I40" s="15">
        <v>10000</v>
      </c>
      <c r="J40" s="15">
        <v>10000</v>
      </c>
      <c r="K40" s="15">
        <v>10000</v>
      </c>
      <c r="L40" s="15">
        <v>20000</v>
      </c>
      <c r="M40" s="15">
        <v>15000</v>
      </c>
      <c r="N40" s="12" t="s">
        <v>259</v>
      </c>
      <c r="O40" s="8">
        <v>18000</v>
      </c>
      <c r="P40" s="40">
        <v>18000</v>
      </c>
      <c r="Q40" s="40">
        <v>20000</v>
      </c>
      <c r="R40" s="40">
        <v>20000</v>
      </c>
      <c r="S40" s="40">
        <v>30000</v>
      </c>
      <c r="T40" s="40">
        <v>40000</v>
      </c>
      <c r="U40" s="105">
        <v>40000</v>
      </c>
      <c r="V40" s="105">
        <v>40000</v>
      </c>
      <c r="W40" s="22"/>
      <c r="X40" s="40">
        <v>40000</v>
      </c>
      <c r="Y40" s="8"/>
      <c r="Z40" s="8"/>
      <c r="AA40" s="8"/>
    </row>
    <row r="41" spans="1:32" x14ac:dyDescent="0.25">
      <c r="A41" s="12" t="s">
        <v>260</v>
      </c>
      <c r="B41" s="13">
        <v>5000</v>
      </c>
      <c r="C41" s="13">
        <v>5000</v>
      </c>
      <c r="D41" s="13">
        <v>5000</v>
      </c>
      <c r="E41" s="15">
        <v>5000</v>
      </c>
      <c r="F41" s="13">
        <v>5000</v>
      </c>
      <c r="G41" s="13">
        <v>10000</v>
      </c>
      <c r="H41" s="13">
        <v>10000</v>
      </c>
      <c r="I41" s="15">
        <v>10000</v>
      </c>
      <c r="J41" s="15">
        <v>10000</v>
      </c>
      <c r="K41" s="15">
        <v>10000</v>
      </c>
      <c r="L41" s="15">
        <v>10000</v>
      </c>
      <c r="M41" s="15">
        <v>15000</v>
      </c>
      <c r="N41" s="12" t="s">
        <v>260</v>
      </c>
      <c r="O41" s="8">
        <v>15000</v>
      </c>
      <c r="P41" s="40">
        <v>15000</v>
      </c>
      <c r="Q41" s="40">
        <v>20000</v>
      </c>
      <c r="R41" s="40">
        <v>20000</v>
      </c>
      <c r="S41" s="40">
        <v>20000</v>
      </c>
      <c r="T41" s="40">
        <v>40000</v>
      </c>
      <c r="U41" s="105">
        <v>40000</v>
      </c>
      <c r="V41" s="105">
        <v>40000</v>
      </c>
      <c r="W41" s="22"/>
      <c r="X41" s="40">
        <v>40000</v>
      </c>
      <c r="Y41" s="8"/>
      <c r="Z41" s="8"/>
      <c r="AA41" s="8"/>
    </row>
    <row r="42" spans="1:32" x14ac:dyDescent="0.25">
      <c r="A42" s="12" t="s">
        <v>261</v>
      </c>
      <c r="B42" s="13"/>
      <c r="C42" s="13"/>
      <c r="D42" s="13"/>
      <c r="E42" s="15">
        <v>60000</v>
      </c>
      <c r="F42" s="292"/>
      <c r="G42" s="292"/>
      <c r="H42" s="292"/>
      <c r="I42" s="63">
        <v>40000</v>
      </c>
      <c r="J42" s="292"/>
      <c r="K42" s="293"/>
      <c r="L42" s="294"/>
      <c r="M42" s="15">
        <v>48000</v>
      </c>
      <c r="N42" s="12" t="s">
        <v>261</v>
      </c>
      <c r="O42" s="8"/>
      <c r="P42" s="22"/>
      <c r="Q42" s="40"/>
      <c r="R42" s="40">
        <v>30000</v>
      </c>
      <c r="S42" s="40">
        <v>30000</v>
      </c>
      <c r="T42" s="40">
        <v>30000</v>
      </c>
      <c r="U42" s="105">
        <v>30000</v>
      </c>
      <c r="V42" s="105">
        <v>30000</v>
      </c>
      <c r="W42" s="22"/>
      <c r="X42" s="40">
        <v>30000</v>
      </c>
      <c r="Y42" s="8"/>
      <c r="Z42" s="8"/>
      <c r="AA42" s="8"/>
    </row>
    <row r="43" spans="1:32" x14ac:dyDescent="0.25">
      <c r="A43" s="12" t="s">
        <v>262</v>
      </c>
      <c r="B43" s="13"/>
      <c r="C43" s="13"/>
      <c r="D43" s="13"/>
      <c r="E43" s="15">
        <v>5000</v>
      </c>
      <c r="F43" s="13">
        <v>5000</v>
      </c>
      <c r="G43" s="13">
        <v>10000</v>
      </c>
      <c r="H43" s="13">
        <v>10000</v>
      </c>
      <c r="I43" s="15">
        <v>10000</v>
      </c>
      <c r="J43" s="15">
        <v>10000</v>
      </c>
      <c r="K43" s="15">
        <v>10000</v>
      </c>
      <c r="L43" s="15">
        <v>10000</v>
      </c>
      <c r="M43" s="15">
        <v>15000</v>
      </c>
      <c r="N43" s="12" t="s">
        <v>262</v>
      </c>
      <c r="O43" s="8">
        <v>15000</v>
      </c>
      <c r="P43" s="40">
        <v>20000</v>
      </c>
      <c r="Q43" s="40">
        <v>20000</v>
      </c>
      <c r="R43" s="40">
        <v>20000</v>
      </c>
      <c r="S43" s="40">
        <v>20000</v>
      </c>
      <c r="T43" s="40">
        <v>40000</v>
      </c>
      <c r="U43" s="105">
        <v>40000</v>
      </c>
      <c r="V43" s="105">
        <v>40000</v>
      </c>
      <c r="W43" s="22"/>
      <c r="X43" s="40">
        <v>40000</v>
      </c>
      <c r="Y43" s="8"/>
      <c r="Z43" s="8"/>
      <c r="AA43" s="8"/>
    </row>
    <row r="44" spans="1:32" x14ac:dyDescent="0.25">
      <c r="A44" s="12" t="s">
        <v>263</v>
      </c>
      <c r="B44" s="13"/>
      <c r="C44" s="13"/>
      <c r="D44" s="13"/>
      <c r="E44" s="15">
        <v>8000</v>
      </c>
      <c r="F44" s="13">
        <v>8000</v>
      </c>
      <c r="G44" s="13">
        <v>10000</v>
      </c>
      <c r="H44" s="13">
        <v>10000</v>
      </c>
      <c r="I44" s="15">
        <v>10000</v>
      </c>
      <c r="J44" s="15">
        <v>10000</v>
      </c>
      <c r="K44" s="15">
        <v>10000</v>
      </c>
      <c r="L44" s="15">
        <v>10000</v>
      </c>
      <c r="M44" s="15">
        <v>10000</v>
      </c>
      <c r="N44" s="12" t="s">
        <v>264</v>
      </c>
      <c r="O44" s="8">
        <v>10000</v>
      </c>
      <c r="P44" s="40">
        <v>20000</v>
      </c>
      <c r="Q44" s="40">
        <v>20000</v>
      </c>
      <c r="R44" s="40">
        <v>20000</v>
      </c>
      <c r="S44" s="40">
        <v>20000</v>
      </c>
      <c r="T44" s="40">
        <v>40000</v>
      </c>
      <c r="U44" s="105">
        <v>40000</v>
      </c>
      <c r="V44" s="105">
        <v>40000</v>
      </c>
      <c r="W44" s="22"/>
      <c r="X44" s="40">
        <v>40000</v>
      </c>
      <c r="Y44" s="8"/>
      <c r="Z44" s="8"/>
      <c r="AA44" s="8"/>
    </row>
    <row r="45" spans="1:32" x14ac:dyDescent="0.25">
      <c r="A45" s="12" t="s">
        <v>265</v>
      </c>
      <c r="B45" s="13"/>
      <c r="C45" s="13"/>
      <c r="D45" s="13"/>
      <c r="E45" s="10"/>
      <c r="F45" s="13"/>
      <c r="G45" s="13">
        <v>20000</v>
      </c>
      <c r="H45" s="13">
        <v>20000</v>
      </c>
      <c r="I45" s="15">
        <v>20000</v>
      </c>
      <c r="J45" s="13">
        <v>30000</v>
      </c>
      <c r="K45" s="15">
        <v>30000</v>
      </c>
      <c r="L45" s="15">
        <v>30000</v>
      </c>
      <c r="M45" s="15">
        <v>30000</v>
      </c>
      <c r="N45" s="12" t="s">
        <v>265</v>
      </c>
      <c r="O45" s="8">
        <v>30000</v>
      </c>
      <c r="P45" s="40">
        <v>35000</v>
      </c>
      <c r="Q45" s="40"/>
      <c r="R45" s="40"/>
      <c r="S45" s="40"/>
      <c r="T45" s="40">
        <v>40000</v>
      </c>
      <c r="U45" s="105">
        <v>40000</v>
      </c>
      <c r="V45" s="105">
        <v>40000</v>
      </c>
      <c r="W45" s="22"/>
      <c r="X45" s="40">
        <v>40000</v>
      </c>
      <c r="Y45" s="8"/>
      <c r="Z45" s="8"/>
      <c r="AA45" s="8"/>
      <c r="AD45" s="295">
        <v>48857.65</v>
      </c>
      <c r="AE45" t="s">
        <v>266</v>
      </c>
      <c r="AF45" t="s">
        <v>267</v>
      </c>
    </row>
    <row r="46" spans="1:32" x14ac:dyDescent="0.25">
      <c r="A46" s="12" t="s">
        <v>268</v>
      </c>
      <c r="B46" s="13"/>
      <c r="C46" s="13"/>
      <c r="D46" s="13"/>
      <c r="E46" s="10"/>
      <c r="F46" s="13"/>
      <c r="G46" s="13"/>
      <c r="H46" s="13"/>
      <c r="I46" s="15"/>
      <c r="J46" s="13"/>
      <c r="K46" s="15"/>
      <c r="L46" s="15"/>
      <c r="M46" s="15"/>
      <c r="N46" s="12"/>
      <c r="O46" s="8"/>
      <c r="P46" s="40">
        <v>60000</v>
      </c>
      <c r="Q46" s="8">
        <v>60000</v>
      </c>
      <c r="R46" s="40">
        <v>60000</v>
      </c>
      <c r="S46" s="40">
        <v>60000</v>
      </c>
      <c r="T46" s="40">
        <v>60000</v>
      </c>
      <c r="U46" s="105">
        <v>60000</v>
      </c>
      <c r="V46" s="105">
        <v>60000</v>
      </c>
      <c r="W46" s="22"/>
      <c r="X46" s="40">
        <v>60000</v>
      </c>
      <c r="Y46" s="8"/>
      <c r="Z46" s="8"/>
      <c r="AA46" s="8"/>
      <c r="AD46" s="295"/>
    </row>
    <row r="47" spans="1:32" x14ac:dyDescent="0.25">
      <c r="A47" s="12" t="s">
        <v>269</v>
      </c>
      <c r="B47" s="13"/>
      <c r="C47" s="13"/>
      <c r="D47" s="13"/>
      <c r="E47" s="10"/>
      <c r="F47" s="13"/>
      <c r="G47" s="13"/>
      <c r="H47" s="13">
        <v>22400</v>
      </c>
      <c r="I47" s="15">
        <v>22400</v>
      </c>
      <c r="J47" s="15">
        <v>67200</v>
      </c>
      <c r="K47" s="15">
        <v>22400</v>
      </c>
      <c r="L47" s="15">
        <v>22400</v>
      </c>
      <c r="M47" s="15">
        <v>22400</v>
      </c>
      <c r="N47" s="12" t="s">
        <v>269</v>
      </c>
      <c r="O47" s="8">
        <v>22400</v>
      </c>
      <c r="P47" s="40">
        <v>22400</v>
      </c>
      <c r="Q47" s="40">
        <v>22400</v>
      </c>
      <c r="R47" s="40">
        <v>50000</v>
      </c>
      <c r="S47" s="40">
        <v>50000</v>
      </c>
      <c r="T47" s="40">
        <v>50000</v>
      </c>
      <c r="U47" s="105">
        <v>50000</v>
      </c>
      <c r="V47" s="105">
        <v>50000</v>
      </c>
      <c r="W47" s="22"/>
      <c r="X47" s="40">
        <v>50000</v>
      </c>
      <c r="Y47" s="8"/>
      <c r="Z47" s="8"/>
      <c r="AA47" s="8"/>
      <c r="AD47" s="1">
        <v>145000</v>
      </c>
      <c r="AE47" t="s">
        <v>270</v>
      </c>
      <c r="AF47" t="s">
        <v>267</v>
      </c>
    </row>
    <row r="48" spans="1:32" x14ac:dyDescent="0.25">
      <c r="A48" s="12" t="s">
        <v>271</v>
      </c>
      <c r="B48" s="13"/>
      <c r="C48" s="13"/>
      <c r="D48" s="13"/>
      <c r="E48" s="13"/>
      <c r="F48" s="13"/>
      <c r="G48" s="13">
        <v>10000</v>
      </c>
      <c r="H48" s="13">
        <v>10000</v>
      </c>
      <c r="I48" s="15">
        <v>10000</v>
      </c>
      <c r="J48" s="15">
        <v>10000</v>
      </c>
      <c r="K48" s="15">
        <v>10000</v>
      </c>
      <c r="L48" s="15">
        <v>50000</v>
      </c>
      <c r="M48" s="15">
        <v>50000</v>
      </c>
      <c r="N48" s="12" t="s">
        <v>271</v>
      </c>
      <c r="O48" s="8">
        <v>20000</v>
      </c>
      <c r="P48" s="40">
        <v>20000</v>
      </c>
      <c r="Q48" s="40">
        <v>20000</v>
      </c>
      <c r="R48" s="40">
        <v>30000</v>
      </c>
      <c r="S48" s="22"/>
      <c r="T48" s="40">
        <v>70000</v>
      </c>
      <c r="U48" s="296"/>
      <c r="V48" s="296"/>
      <c r="W48" s="107"/>
      <c r="X48" s="89"/>
      <c r="Y48" s="48"/>
      <c r="Z48" s="48"/>
      <c r="AA48" s="48"/>
      <c r="AD48" s="1">
        <v>550250</v>
      </c>
      <c r="AE48" t="s">
        <v>272</v>
      </c>
      <c r="AF48" t="s">
        <v>273</v>
      </c>
    </row>
    <row r="49" spans="1:32" x14ac:dyDescent="0.25">
      <c r="A49" s="12" t="s">
        <v>274</v>
      </c>
      <c r="B49" s="13">
        <v>30000</v>
      </c>
      <c r="C49" s="13"/>
      <c r="D49" s="13"/>
      <c r="E49" s="13"/>
      <c r="F49" s="13"/>
      <c r="G49" s="13"/>
      <c r="H49" s="13"/>
      <c r="I49" s="15">
        <v>30000</v>
      </c>
      <c r="J49" s="15">
        <v>30000</v>
      </c>
      <c r="K49" s="15">
        <v>30000</v>
      </c>
      <c r="L49" s="15">
        <v>30000</v>
      </c>
      <c r="M49" s="15">
        <v>30000</v>
      </c>
      <c r="N49" s="12" t="s">
        <v>274</v>
      </c>
      <c r="O49" s="8"/>
      <c r="P49" s="22"/>
      <c r="Q49" s="40">
        <v>50000</v>
      </c>
      <c r="R49" s="40">
        <v>50000</v>
      </c>
      <c r="S49" s="40">
        <v>50000</v>
      </c>
      <c r="T49" s="40">
        <v>50000</v>
      </c>
      <c r="U49" s="105">
        <v>50000</v>
      </c>
      <c r="V49" s="105">
        <v>50000</v>
      </c>
      <c r="W49" s="22"/>
      <c r="X49" s="40">
        <v>50000</v>
      </c>
      <c r="Y49" s="8"/>
      <c r="Z49" s="8"/>
      <c r="AA49" s="8"/>
      <c r="AD49" s="1">
        <v>108000</v>
      </c>
      <c r="AE49" t="s">
        <v>275</v>
      </c>
      <c r="AF49" t="s">
        <v>273</v>
      </c>
    </row>
    <row r="50" spans="1:32" x14ac:dyDescent="0.25">
      <c r="A50" s="297" t="s">
        <v>276</v>
      </c>
      <c r="B50" s="274">
        <v>120000</v>
      </c>
      <c r="C50" s="274"/>
      <c r="D50" s="274"/>
      <c r="E50" s="274"/>
      <c r="F50" s="274"/>
      <c r="G50" s="274"/>
      <c r="H50" s="274"/>
      <c r="I50" s="274">
        <v>120000</v>
      </c>
      <c r="J50" s="248">
        <v>120000</v>
      </c>
      <c r="K50" s="248">
        <v>120000</v>
      </c>
      <c r="L50" s="248">
        <v>120000</v>
      </c>
      <c r="M50" s="248">
        <v>120000</v>
      </c>
      <c r="N50" s="297" t="s">
        <v>276</v>
      </c>
      <c r="O50" s="8">
        <v>120000</v>
      </c>
      <c r="P50" s="40">
        <v>120000</v>
      </c>
      <c r="Q50" s="40">
        <v>120000</v>
      </c>
      <c r="R50" s="40">
        <v>120000</v>
      </c>
      <c r="S50" s="40">
        <v>120000</v>
      </c>
      <c r="T50" s="40">
        <v>120000</v>
      </c>
      <c r="U50" s="105">
        <v>120000</v>
      </c>
      <c r="V50" s="105">
        <v>120000</v>
      </c>
      <c r="W50" s="22"/>
      <c r="X50" s="40">
        <v>120000</v>
      </c>
      <c r="Y50" s="8"/>
      <c r="Z50" s="8"/>
      <c r="AA50" s="8"/>
      <c r="AD50" s="298">
        <v>126735</v>
      </c>
      <c r="AE50" t="s">
        <v>277</v>
      </c>
      <c r="AF50" t="s">
        <v>273</v>
      </c>
    </row>
    <row r="51" spans="1:32" x14ac:dyDescent="0.25">
      <c r="A51" s="13" t="s">
        <v>278</v>
      </c>
      <c r="B51" s="13"/>
      <c r="C51" s="13"/>
      <c r="D51" s="13"/>
      <c r="E51" s="13"/>
      <c r="F51" s="13"/>
      <c r="G51" s="13"/>
      <c r="H51" s="13"/>
      <c r="I51" s="13"/>
      <c r="J51" s="13">
        <v>30000</v>
      </c>
      <c r="K51" s="15">
        <v>70000</v>
      </c>
      <c r="L51" s="15">
        <v>70000</v>
      </c>
      <c r="M51" s="15">
        <v>70000</v>
      </c>
      <c r="N51" s="13" t="s">
        <v>278</v>
      </c>
      <c r="O51" s="13">
        <v>70000</v>
      </c>
      <c r="P51" s="15">
        <v>70000</v>
      </c>
      <c r="Q51" s="15">
        <v>70000</v>
      </c>
      <c r="R51" s="15">
        <v>70000</v>
      </c>
      <c r="S51" s="15">
        <v>85000</v>
      </c>
      <c r="T51" s="15">
        <v>100000</v>
      </c>
      <c r="U51" s="16">
        <v>100000</v>
      </c>
      <c r="V51" s="16">
        <v>100000</v>
      </c>
      <c r="W51" s="10"/>
      <c r="X51" s="15">
        <v>100000</v>
      </c>
      <c r="Y51" s="8"/>
      <c r="Z51" s="8"/>
      <c r="AA51" s="8"/>
      <c r="AD51" s="1">
        <v>139500</v>
      </c>
      <c r="AE51" t="s">
        <v>279</v>
      </c>
      <c r="AF51" t="s">
        <v>273</v>
      </c>
    </row>
    <row r="52" spans="1:32" x14ac:dyDescent="0.25">
      <c r="A52" s="231" t="s">
        <v>280</v>
      </c>
      <c r="B52" s="231"/>
      <c r="C52" s="231"/>
      <c r="D52" s="231"/>
      <c r="E52" s="231"/>
      <c r="F52" s="231"/>
      <c r="G52" s="231"/>
      <c r="H52" s="231"/>
      <c r="I52" s="231"/>
      <c r="J52" s="231">
        <v>10000</v>
      </c>
      <c r="K52" s="230">
        <v>10000</v>
      </c>
      <c r="L52" s="230">
        <v>20000</v>
      </c>
      <c r="M52" s="230">
        <v>20000</v>
      </c>
      <c r="N52" s="231" t="s">
        <v>280</v>
      </c>
      <c r="O52" s="231">
        <v>20000</v>
      </c>
      <c r="P52" s="230">
        <v>20000</v>
      </c>
      <c r="Q52" s="15">
        <v>20000</v>
      </c>
      <c r="R52" s="230">
        <v>30000</v>
      </c>
      <c r="S52" s="230">
        <v>30000</v>
      </c>
      <c r="T52" s="230">
        <v>40000</v>
      </c>
      <c r="U52" s="299">
        <v>40000</v>
      </c>
      <c r="V52" s="299">
        <v>10000</v>
      </c>
      <c r="W52" s="125"/>
      <c r="X52" s="89"/>
      <c r="Y52" s="48"/>
      <c r="Z52" s="48"/>
      <c r="AA52" s="48"/>
      <c r="AD52" s="1">
        <v>850000</v>
      </c>
      <c r="AE52" t="s">
        <v>281</v>
      </c>
      <c r="AF52" t="s">
        <v>273</v>
      </c>
    </row>
    <row r="53" spans="1:32" x14ac:dyDescent="0.25">
      <c r="A53" s="231" t="s">
        <v>282</v>
      </c>
      <c r="B53" s="274"/>
      <c r="C53" s="274"/>
      <c r="D53" s="274"/>
      <c r="E53" s="274"/>
      <c r="F53" s="274"/>
      <c r="G53" s="274"/>
      <c r="H53" s="274"/>
      <c r="I53" s="274"/>
      <c r="J53" s="274"/>
      <c r="K53" s="248"/>
      <c r="L53" s="248"/>
      <c r="M53" s="248"/>
      <c r="N53" s="231" t="s">
        <v>283</v>
      </c>
      <c r="O53" s="274"/>
      <c r="P53" s="248"/>
      <c r="Q53" s="248">
        <v>30000</v>
      </c>
      <c r="R53" s="248">
        <v>30000</v>
      </c>
      <c r="S53" s="248">
        <v>30000</v>
      </c>
      <c r="T53" s="248">
        <v>40000</v>
      </c>
      <c r="U53" s="300">
        <v>40000</v>
      </c>
      <c r="V53" s="300">
        <v>40000</v>
      </c>
      <c r="W53" s="301"/>
      <c r="X53" s="248">
        <v>40000</v>
      </c>
      <c r="Y53" s="274"/>
      <c r="Z53" s="274"/>
      <c r="AA53" s="274"/>
      <c r="AD53" s="1"/>
    </row>
    <row r="54" spans="1:32" x14ac:dyDescent="0.25">
      <c r="A54" s="231" t="s">
        <v>284</v>
      </c>
      <c r="B54" s="274"/>
      <c r="C54" s="274"/>
      <c r="D54" s="274"/>
      <c r="E54" s="274"/>
      <c r="F54" s="274"/>
      <c r="G54" s="274"/>
      <c r="H54" s="274"/>
      <c r="I54" s="274"/>
      <c r="J54" s="274"/>
      <c r="K54" s="248"/>
      <c r="L54" s="248"/>
      <c r="M54" s="248"/>
      <c r="N54" s="231" t="s">
        <v>284</v>
      </c>
      <c r="O54" s="274"/>
      <c r="P54" s="248"/>
      <c r="Q54" s="248">
        <v>50000</v>
      </c>
      <c r="R54" s="248">
        <v>50000</v>
      </c>
      <c r="S54" s="248">
        <v>50000</v>
      </c>
      <c r="T54" s="248">
        <v>50000</v>
      </c>
      <c r="U54" s="300">
        <v>50000</v>
      </c>
      <c r="V54" s="300">
        <v>50000</v>
      </c>
      <c r="W54" s="301"/>
      <c r="X54" s="248">
        <v>50000</v>
      </c>
      <c r="Y54" s="274"/>
      <c r="Z54" s="274"/>
      <c r="AA54" s="274"/>
      <c r="AD54" s="1"/>
    </row>
    <row r="55" spans="1:32" x14ac:dyDescent="0.25">
      <c r="A55" s="231" t="s">
        <v>285</v>
      </c>
      <c r="B55" s="274"/>
      <c r="C55" s="274"/>
      <c r="D55" s="274"/>
      <c r="E55" s="274"/>
      <c r="F55" s="274"/>
      <c r="G55" s="274"/>
      <c r="H55" s="274"/>
      <c r="I55" s="274"/>
      <c r="J55" s="274"/>
      <c r="K55" s="248"/>
      <c r="L55" s="248"/>
      <c r="M55" s="248"/>
      <c r="N55" s="231"/>
      <c r="O55" s="248">
        <v>75000</v>
      </c>
      <c r="P55" s="248">
        <v>75000</v>
      </c>
      <c r="Q55" s="248">
        <v>75000</v>
      </c>
      <c r="R55" s="248">
        <v>75000</v>
      </c>
      <c r="S55" s="248">
        <v>75000</v>
      </c>
      <c r="T55" s="248"/>
      <c r="U55" s="302"/>
      <c r="V55" s="300">
        <v>168300</v>
      </c>
      <c r="W55" s="301"/>
      <c r="X55" s="274"/>
      <c r="Y55" s="274"/>
      <c r="Z55" s="274"/>
      <c r="AA55" s="274"/>
      <c r="AD55" s="1"/>
    </row>
    <row r="56" spans="1:32" x14ac:dyDescent="0.25">
      <c r="A56" s="231" t="s">
        <v>286</v>
      </c>
      <c r="B56" s="274"/>
      <c r="C56" s="274"/>
      <c r="D56" s="274"/>
      <c r="E56" s="274"/>
      <c r="F56" s="274"/>
      <c r="G56" s="274"/>
      <c r="H56" s="274"/>
      <c r="I56" s="274"/>
      <c r="J56" s="274"/>
      <c r="K56" s="248"/>
      <c r="L56" s="248"/>
      <c r="M56" s="248"/>
      <c r="N56" s="231"/>
      <c r="O56" s="248">
        <v>139090.32</v>
      </c>
      <c r="P56" s="248">
        <v>139090.32</v>
      </c>
      <c r="Q56" s="248">
        <v>139090.32</v>
      </c>
      <c r="R56" s="248">
        <v>139090.32</v>
      </c>
      <c r="S56" s="248">
        <v>139090.32</v>
      </c>
      <c r="T56" s="248"/>
      <c r="U56" s="248">
        <v>139090.92000000001</v>
      </c>
      <c r="V56" s="300"/>
      <c r="W56" s="301"/>
      <c r="X56" s="274">
        <v>168300</v>
      </c>
      <c r="Y56" s="274"/>
      <c r="Z56" s="274"/>
      <c r="AA56" s="274"/>
      <c r="AD56" s="1"/>
    </row>
    <row r="57" spans="1:32" x14ac:dyDescent="0.25">
      <c r="A57" s="231" t="s">
        <v>287</v>
      </c>
      <c r="B57" s="274"/>
      <c r="C57" s="274"/>
      <c r="D57" s="274"/>
      <c r="E57" s="274"/>
      <c r="F57" s="274"/>
      <c r="G57" s="274"/>
      <c r="H57" s="274"/>
      <c r="I57" s="274"/>
      <c r="J57" s="274"/>
      <c r="K57" s="248"/>
      <c r="L57" s="248"/>
      <c r="M57" s="248"/>
      <c r="N57" s="231"/>
      <c r="O57" s="248"/>
      <c r="P57" s="248"/>
      <c r="Q57" s="248"/>
      <c r="R57" s="248"/>
      <c r="S57" s="248"/>
      <c r="T57" s="248"/>
      <c r="U57" s="300">
        <v>25000</v>
      </c>
      <c r="V57" s="300"/>
      <c r="W57" s="301"/>
      <c r="X57" s="274"/>
      <c r="Y57" s="274"/>
      <c r="Z57" s="274"/>
      <c r="AA57" s="274"/>
      <c r="AD57" s="1"/>
    </row>
    <row r="58" spans="1:32" x14ac:dyDescent="0.25">
      <c r="A58" s="12" t="s">
        <v>288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2" t="s">
        <v>288</v>
      </c>
      <c r="O58" s="8">
        <v>10000</v>
      </c>
      <c r="P58" s="40">
        <v>10000</v>
      </c>
      <c r="Q58" s="40">
        <v>30000</v>
      </c>
      <c r="R58" s="40">
        <v>10000</v>
      </c>
      <c r="S58" s="40">
        <v>30000</v>
      </c>
      <c r="T58" s="40">
        <v>40000</v>
      </c>
      <c r="U58" s="40">
        <v>40000</v>
      </c>
      <c r="V58" s="105">
        <v>40000</v>
      </c>
      <c r="W58" s="22"/>
      <c r="X58" s="105">
        <v>40000</v>
      </c>
      <c r="Y58" s="8"/>
      <c r="Z58" s="8"/>
      <c r="AA58" s="8"/>
      <c r="AB58" s="303"/>
      <c r="AD58" s="1">
        <v>22000</v>
      </c>
      <c r="AE58" t="s">
        <v>289</v>
      </c>
      <c r="AF58" t="s">
        <v>267</v>
      </c>
    </row>
    <row r="59" spans="1:32" x14ac:dyDescent="0.25">
      <c r="A59" s="279" t="s">
        <v>254</v>
      </c>
      <c r="B59" s="304">
        <f t="shared" ref="B59:I59" si="2">SUM(B37:B49)</f>
        <v>190000</v>
      </c>
      <c r="C59" s="304">
        <f t="shared" si="2"/>
        <v>370000</v>
      </c>
      <c r="D59" s="304">
        <f t="shared" si="2"/>
        <v>370000</v>
      </c>
      <c r="E59" s="304">
        <f t="shared" si="2"/>
        <v>451000</v>
      </c>
      <c r="F59" s="304">
        <f t="shared" si="2"/>
        <v>491000</v>
      </c>
      <c r="G59" s="304">
        <f t="shared" si="2"/>
        <v>540000</v>
      </c>
      <c r="H59" s="304">
        <f t="shared" si="2"/>
        <v>562400</v>
      </c>
      <c r="I59" s="304">
        <f t="shared" si="2"/>
        <v>682400</v>
      </c>
      <c r="J59" s="304">
        <f>SUM(J37:J52)</f>
        <v>857200</v>
      </c>
      <c r="K59" s="305">
        <f>SUM(K37:K50)</f>
        <v>1022400</v>
      </c>
      <c r="L59" s="304">
        <f>SUM(L37:L50)</f>
        <v>892400</v>
      </c>
      <c r="M59" s="304">
        <f>SUM(M37:M50)</f>
        <v>945400</v>
      </c>
      <c r="N59" s="279" t="s">
        <v>254</v>
      </c>
      <c r="O59" s="304">
        <f t="shared" ref="O59:AA59" si="3">SUM(O37:O58)</f>
        <v>1154490.32</v>
      </c>
      <c r="P59" s="304">
        <f>SUM(P36:P58)</f>
        <v>1304490.32</v>
      </c>
      <c r="Q59" s="304">
        <f t="shared" si="3"/>
        <v>1416490.32</v>
      </c>
      <c r="R59" s="304">
        <f t="shared" si="3"/>
        <v>1474090.32</v>
      </c>
      <c r="S59" s="304">
        <f t="shared" si="3"/>
        <v>1489090.32</v>
      </c>
      <c r="T59" s="304">
        <f t="shared" si="3"/>
        <v>1520000</v>
      </c>
      <c r="U59" s="304">
        <f t="shared" si="3"/>
        <v>1614090.92</v>
      </c>
      <c r="V59" s="304">
        <f t="shared" si="3"/>
        <v>1588300</v>
      </c>
      <c r="W59" s="304"/>
      <c r="X59" s="304">
        <f t="shared" si="3"/>
        <v>1578300</v>
      </c>
      <c r="Y59" s="304">
        <f t="shared" si="3"/>
        <v>0</v>
      </c>
      <c r="Z59" s="304">
        <f t="shared" si="3"/>
        <v>0</v>
      </c>
      <c r="AA59" s="304">
        <f t="shared" si="3"/>
        <v>0</v>
      </c>
      <c r="AB59" s="303"/>
      <c r="AD59" s="1">
        <v>300000</v>
      </c>
      <c r="AE59" t="s">
        <v>290</v>
      </c>
      <c r="AF59" t="s">
        <v>273</v>
      </c>
    </row>
    <row r="60" spans="1:32" x14ac:dyDescent="0.25">
      <c r="A60" s="421" t="s">
        <v>3</v>
      </c>
      <c r="B60" s="422"/>
      <c r="C60" s="422"/>
      <c r="D60" s="422"/>
      <c r="E60" s="422"/>
      <c r="F60" s="422"/>
      <c r="G60" s="422"/>
      <c r="H60" s="422"/>
      <c r="I60" s="422"/>
      <c r="J60" s="422"/>
      <c r="K60" s="422"/>
      <c r="L60" s="422"/>
      <c r="M60" s="422"/>
      <c r="N60" s="422"/>
      <c r="O60" s="422"/>
      <c r="P60" s="422"/>
      <c r="Q60" s="422"/>
      <c r="R60" s="422"/>
      <c r="S60" s="422"/>
      <c r="T60" s="422"/>
      <c r="U60" s="422"/>
      <c r="V60" s="422"/>
      <c r="W60" s="422"/>
      <c r="X60" s="422"/>
      <c r="Y60" s="422"/>
      <c r="Z60" s="422"/>
      <c r="AA60" s="422"/>
      <c r="AB60" s="303"/>
      <c r="AD60" s="1">
        <v>240000</v>
      </c>
      <c r="AE60" t="s">
        <v>291</v>
      </c>
      <c r="AF60" t="s">
        <v>273</v>
      </c>
    </row>
    <row r="61" spans="1:3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306"/>
      <c r="P61" s="306"/>
      <c r="Q61" s="306"/>
      <c r="R61" s="306"/>
      <c r="S61" s="306"/>
      <c r="T61" s="7" t="s">
        <v>91</v>
      </c>
      <c r="U61" s="7" t="s">
        <v>93</v>
      </c>
      <c r="V61" s="7" t="s">
        <v>94</v>
      </c>
      <c r="W61" s="7"/>
      <c r="X61" s="7" t="s">
        <v>95</v>
      </c>
      <c r="Y61" s="7" t="s">
        <v>96</v>
      </c>
      <c r="Z61" s="7" t="s">
        <v>97</v>
      </c>
      <c r="AA61" s="7" t="s">
        <v>86</v>
      </c>
      <c r="AB61" s="303"/>
      <c r="AD61" s="1"/>
    </row>
    <row r="62" spans="1:32" x14ac:dyDescent="0.25">
      <c r="A62" s="272" t="s">
        <v>292</v>
      </c>
      <c r="B62" s="280"/>
      <c r="C62" s="280"/>
      <c r="D62" s="280"/>
      <c r="E62" s="280"/>
      <c r="F62" s="280"/>
      <c r="G62" s="280"/>
      <c r="H62" s="280"/>
      <c r="I62" s="281">
        <v>193844</v>
      </c>
      <c r="J62" s="281">
        <v>240000</v>
      </c>
      <c r="K62" s="283">
        <v>265000</v>
      </c>
      <c r="L62" s="281">
        <v>270000</v>
      </c>
      <c r="M62" s="307">
        <v>270000</v>
      </c>
      <c r="N62" s="279" t="s">
        <v>292</v>
      </c>
      <c r="O62" s="88">
        <v>265000</v>
      </c>
      <c r="P62" s="8">
        <v>265000</v>
      </c>
      <c r="Q62" s="40">
        <v>280000</v>
      </c>
      <c r="R62" s="8">
        <v>280000</v>
      </c>
      <c r="S62" s="8">
        <v>290000</v>
      </c>
      <c r="T62" s="40">
        <v>300000</v>
      </c>
      <c r="U62" s="40">
        <v>320000</v>
      </c>
      <c r="V62" s="40">
        <v>320000</v>
      </c>
      <c r="W62" s="40"/>
      <c r="X62" s="248">
        <v>320000</v>
      </c>
      <c r="Y62" s="248"/>
      <c r="Z62" s="274"/>
      <c r="AA62" s="274"/>
      <c r="AD62" s="1">
        <v>400000</v>
      </c>
      <c r="AE62" t="s">
        <v>293</v>
      </c>
      <c r="AF62" t="s">
        <v>267</v>
      </c>
    </row>
    <row r="63" spans="1:32" x14ac:dyDescent="0.25">
      <c r="A63" s="12" t="s">
        <v>294</v>
      </c>
      <c r="B63" s="18"/>
      <c r="C63" s="18"/>
      <c r="D63" s="18"/>
      <c r="E63" s="18"/>
      <c r="F63" s="18"/>
      <c r="G63" s="18"/>
      <c r="H63" s="18"/>
      <c r="I63" s="8">
        <v>193844</v>
      </c>
      <c r="J63" s="8">
        <v>240000</v>
      </c>
      <c r="K63" s="40">
        <v>265000</v>
      </c>
      <c r="L63" s="8">
        <v>270000</v>
      </c>
      <c r="M63" s="49">
        <v>270000</v>
      </c>
      <c r="N63" s="12" t="s">
        <v>295</v>
      </c>
      <c r="O63" s="88">
        <v>265000</v>
      </c>
      <c r="P63" s="8">
        <v>265000</v>
      </c>
      <c r="Q63" s="40">
        <v>280000</v>
      </c>
      <c r="R63" s="8">
        <v>280000</v>
      </c>
      <c r="S63" s="8">
        <v>290000</v>
      </c>
      <c r="T63" s="40">
        <v>300000</v>
      </c>
      <c r="U63" s="40">
        <v>320000</v>
      </c>
      <c r="V63" s="40">
        <v>320000</v>
      </c>
      <c r="W63" s="49"/>
      <c r="X63" s="248">
        <v>320000</v>
      </c>
      <c r="Y63" s="40"/>
      <c r="Z63" s="8"/>
      <c r="AA63" s="8"/>
      <c r="AB63" s="308"/>
      <c r="AD63" s="1"/>
    </row>
    <row r="64" spans="1:32" x14ac:dyDescent="0.25">
      <c r="A64" s="12" t="s">
        <v>51</v>
      </c>
      <c r="B64" s="18"/>
      <c r="C64" s="18"/>
      <c r="D64" s="18"/>
      <c r="E64" s="18"/>
      <c r="F64" s="18"/>
      <c r="G64" s="18"/>
      <c r="H64" s="18"/>
      <c r="I64" s="8">
        <v>193844</v>
      </c>
      <c r="J64" s="8">
        <v>240000</v>
      </c>
      <c r="K64" s="40">
        <v>265000</v>
      </c>
      <c r="L64" s="8">
        <v>270000</v>
      </c>
      <c r="M64" s="49">
        <v>270000</v>
      </c>
      <c r="N64" s="12" t="s">
        <v>51</v>
      </c>
      <c r="O64" s="88">
        <v>265000</v>
      </c>
      <c r="P64" s="8">
        <v>265000</v>
      </c>
      <c r="Q64" s="40">
        <v>280000</v>
      </c>
      <c r="R64" s="8">
        <v>280000</v>
      </c>
      <c r="S64" s="8">
        <v>290000</v>
      </c>
      <c r="T64" s="40">
        <v>300000</v>
      </c>
      <c r="U64" s="40">
        <v>320000</v>
      </c>
      <c r="V64" s="40">
        <v>320000</v>
      </c>
      <c r="W64" s="49"/>
      <c r="X64" s="248">
        <v>320000</v>
      </c>
      <c r="Y64" s="40"/>
      <c r="Z64" s="8"/>
      <c r="AA64" s="8"/>
      <c r="AD64" s="1"/>
    </row>
    <row r="65" spans="1:27" x14ac:dyDescent="0.25">
      <c r="A65" s="272"/>
      <c r="N65" s="12" t="s">
        <v>296</v>
      </c>
      <c r="R65" s="309">
        <v>400000</v>
      </c>
      <c r="S65" s="8">
        <v>400000</v>
      </c>
      <c r="T65" s="310">
        <v>400000</v>
      </c>
      <c r="U65" s="310">
        <v>420000</v>
      </c>
      <c r="V65" s="310">
        <v>420000</v>
      </c>
      <c r="W65" s="311"/>
      <c r="X65" s="40">
        <v>420000</v>
      </c>
      <c r="Y65" s="18"/>
      <c r="Z65" s="18"/>
      <c r="AA65" s="18"/>
    </row>
    <row r="66" spans="1:27" x14ac:dyDescent="0.25">
      <c r="A66" s="272"/>
      <c r="N66" s="12" t="s">
        <v>297</v>
      </c>
      <c r="R66" s="309"/>
      <c r="S66" s="8"/>
      <c r="T66" s="312"/>
      <c r="U66" s="312"/>
      <c r="V66" s="312"/>
      <c r="W66" s="313"/>
      <c r="X66" s="283">
        <v>150000</v>
      </c>
      <c r="Y66" s="280"/>
      <c r="Z66" s="280"/>
      <c r="AA66" s="280"/>
    </row>
    <row r="67" spans="1:27" x14ac:dyDescent="0.25">
      <c r="A67" s="12" t="s">
        <v>254</v>
      </c>
      <c r="B67" s="18"/>
      <c r="C67" s="18"/>
      <c r="D67" s="18"/>
      <c r="E67" s="18"/>
      <c r="F67" s="18"/>
      <c r="G67" s="18"/>
      <c r="H67" s="18"/>
      <c r="I67" s="24">
        <f>SUM(I62:I64)</f>
        <v>581532</v>
      </c>
      <c r="J67" s="24">
        <f>SUM(J62:J64)</f>
        <v>720000</v>
      </c>
      <c r="K67" s="24">
        <f>SUM(K62:K64)</f>
        <v>795000</v>
      </c>
      <c r="L67" s="24">
        <f>SUM(L62:L64)</f>
        <v>810000</v>
      </c>
      <c r="M67" s="24">
        <f>SUM(M62:M64)</f>
        <v>810000</v>
      </c>
      <c r="N67" s="12" t="s">
        <v>254</v>
      </c>
      <c r="O67" s="8">
        <f>SUM(O62:O64)</f>
        <v>795000</v>
      </c>
      <c r="P67" s="8">
        <f>SUM(P62:P64)</f>
        <v>795000</v>
      </c>
      <c r="Q67" s="8">
        <f>SUM(Q62:Q64)</f>
        <v>840000</v>
      </c>
      <c r="R67" s="8">
        <f>SUM(R62:R65)</f>
        <v>1240000</v>
      </c>
      <c r="S67" s="8">
        <f>SUM(S62:S64)</f>
        <v>870000</v>
      </c>
      <c r="T67" s="8">
        <f>SUM(T62:T65)</f>
        <v>1300000</v>
      </c>
      <c r="U67" s="8">
        <f>SUM(U62:U65)</f>
        <v>1380000</v>
      </c>
      <c r="V67" s="8">
        <f>SUM(V62:V65)</f>
        <v>1380000</v>
      </c>
      <c r="W67" s="8"/>
      <c r="X67" s="281">
        <f>SUM(X62:X66)</f>
        <v>1530000</v>
      </c>
      <c r="Y67" s="281">
        <f>SUM(Y62:Y64)</f>
        <v>0</v>
      </c>
      <c r="Z67" s="281">
        <f>SUM(Z62:Z64)</f>
        <v>0</v>
      </c>
      <c r="AA67" s="281">
        <f>SUM(AA62:AA64)</f>
        <v>0</v>
      </c>
    </row>
    <row r="70" spans="1:27" x14ac:dyDescent="0.25">
      <c r="A70" s="12" t="s">
        <v>254</v>
      </c>
      <c r="B70" s="314">
        <f t="shared" ref="B70:G70" si="4">SUM(B59,B33)</f>
        <v>1830800</v>
      </c>
      <c r="C70" s="314">
        <f t="shared" si="4"/>
        <v>1973521.08</v>
      </c>
      <c r="D70" s="314">
        <f t="shared" si="4"/>
        <v>1585949.93</v>
      </c>
      <c r="E70" s="314">
        <f t="shared" si="4"/>
        <v>6616749.9299999997</v>
      </c>
      <c r="F70" s="314">
        <f t="shared" si="4"/>
        <v>491000</v>
      </c>
      <c r="G70" s="314">
        <f t="shared" si="4"/>
        <v>4387638.09</v>
      </c>
      <c r="H70" s="314">
        <f t="shared" ref="H70:M70" si="5">SUM(H33,H59,H67)</f>
        <v>4275012.0600000005</v>
      </c>
      <c r="I70" s="314">
        <f t="shared" si="5"/>
        <v>3901939.5</v>
      </c>
      <c r="J70" s="314">
        <f t="shared" si="5"/>
        <v>7571638.54</v>
      </c>
      <c r="K70" s="314">
        <f t="shared" si="5"/>
        <v>6046481.4100000001</v>
      </c>
      <c r="L70" s="314">
        <f t="shared" si="5"/>
        <v>4282016.66</v>
      </c>
      <c r="M70" s="314">
        <f t="shared" si="5"/>
        <v>4613315.1500000004</v>
      </c>
      <c r="N70" s="12" t="s">
        <v>254</v>
      </c>
      <c r="O70" s="314">
        <f t="shared" ref="O70:V70" si="6">SUM(O33,O59,O67)</f>
        <v>8956623.2899999991</v>
      </c>
      <c r="P70" s="314">
        <f t="shared" si="6"/>
        <v>10912248.92</v>
      </c>
      <c r="Q70" s="314">
        <f t="shared" si="6"/>
        <v>7073876.8300000001</v>
      </c>
      <c r="R70" s="314">
        <f t="shared" si="6"/>
        <v>11871837.710000001</v>
      </c>
      <c r="S70" s="314">
        <f t="shared" si="6"/>
        <v>9691479.7400000002</v>
      </c>
      <c r="T70" s="314">
        <f t="shared" si="6"/>
        <v>9612648.8300000001</v>
      </c>
      <c r="U70" s="314">
        <f t="shared" si="6"/>
        <v>10284966.039999999</v>
      </c>
      <c r="V70" s="314">
        <f t="shared" si="6"/>
        <v>16569139.609999999</v>
      </c>
      <c r="W70" s="314"/>
      <c r="X70" s="314">
        <f>SUM(X33,X59,X67)</f>
        <v>16028529.91</v>
      </c>
      <c r="Y70" s="314">
        <f>SUM(Y33,Y59,Y67)</f>
        <v>5038294.01</v>
      </c>
      <c r="Z70" s="314">
        <f>SUM(Z33,Z59,Z67)</f>
        <v>0</v>
      </c>
      <c r="AA70" s="314">
        <f>SUM(AA33,AA59,AA67)</f>
        <v>0</v>
      </c>
    </row>
    <row r="72" spans="1:27" x14ac:dyDescent="0.25">
      <c r="A72" s="18" t="s">
        <v>298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2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8">
        <v>216000</v>
      </c>
    </row>
    <row r="73" spans="1:27" x14ac:dyDescent="0.25">
      <c r="A73" s="18" t="s">
        <v>299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2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8">
        <v>216000</v>
      </c>
    </row>
    <row r="103" spans="29:29" x14ac:dyDescent="0.25">
      <c r="AC103">
        <f>SUM(AD2:AD102,'[1]Prof y pub'!R15)</f>
        <v>2930342.65</v>
      </c>
    </row>
    <row r="144" spans="25:25" x14ac:dyDescent="0.25">
      <c r="Y144">
        <f>SUM(Z2:Z140,'[1]Prof y pub'!Q15)</f>
        <v>50000</v>
      </c>
    </row>
  </sheetData>
  <mergeCells count="1">
    <mergeCell ref="A60:AA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0B4C-6B15-47E9-BAA6-E1D0F24BDC1A}">
  <dimension ref="A1:AS120"/>
  <sheetViews>
    <sheetView tabSelected="1" topLeftCell="F1" workbookViewId="0">
      <selection activeCell="Z16" sqref="Z16"/>
    </sheetView>
  </sheetViews>
  <sheetFormatPr baseColWidth="10" defaultColWidth="11.42578125" defaultRowHeight="15" x14ac:dyDescent="0.25"/>
  <cols>
    <col min="1" max="1" width="5.140625" style="315" customWidth="1"/>
    <col min="2" max="2" width="14.28515625" bestFit="1" customWidth="1"/>
    <col min="3" max="3" width="12.28515625" bestFit="1" customWidth="1"/>
    <col min="4" max="4" width="14.28515625" bestFit="1" customWidth="1"/>
    <col min="5" max="5" width="29" style="399" bestFit="1" customWidth="1"/>
    <col min="6" max="6" width="12.85546875" bestFit="1" customWidth="1"/>
    <col min="7" max="7" width="13.28515625" bestFit="1" customWidth="1"/>
    <col min="8" max="8" width="14.28515625" style="1" bestFit="1" customWidth="1"/>
    <col min="9" max="10" width="1.7109375" customWidth="1"/>
    <col min="11" max="11" width="4.42578125" customWidth="1"/>
    <col min="12" max="14" width="1.7109375" customWidth="1"/>
    <col min="15" max="15" width="4.42578125" customWidth="1"/>
    <col min="16" max="18" width="1.7109375" customWidth="1"/>
    <col min="19" max="19" width="4.42578125" customWidth="1"/>
    <col min="20" max="22" width="1.7109375" customWidth="1"/>
    <col min="23" max="28" width="7.85546875" customWidth="1"/>
    <col min="29" max="29" width="7.85546875" style="272" customWidth="1"/>
    <col min="30" max="30" width="7.42578125" style="272" customWidth="1"/>
    <col min="31" max="35" width="7.42578125" customWidth="1"/>
    <col min="36" max="36" width="7.85546875" style="255" customWidth="1"/>
    <col min="37" max="38" width="7.85546875" style="257" customWidth="1"/>
    <col min="39" max="39" width="7.85546875" customWidth="1"/>
    <col min="40" max="40" width="9.7109375" style="417" customWidth="1"/>
    <col min="41" max="42" width="9.7109375" style="272" customWidth="1"/>
    <col min="43" max="43" width="9.7109375" customWidth="1"/>
    <col min="44" max="44" width="9.7109375" style="417" customWidth="1"/>
    <col min="45" max="45" width="9.7109375" style="272" customWidth="1"/>
  </cols>
  <sheetData>
    <row r="1" spans="2:45" x14ac:dyDescent="0.25">
      <c r="B1" s="316" t="s">
        <v>300</v>
      </c>
      <c r="C1" s="317" t="s">
        <v>301</v>
      </c>
      <c r="D1" s="318" t="s">
        <v>302</v>
      </c>
      <c r="E1" s="319" t="s">
        <v>303</v>
      </c>
      <c r="F1" s="316" t="s">
        <v>88</v>
      </c>
      <c r="G1" s="320" t="s">
        <v>301</v>
      </c>
      <c r="H1" s="318" t="s">
        <v>302</v>
      </c>
      <c r="I1" s="319" t="s">
        <v>303</v>
      </c>
      <c r="J1" s="321" t="s">
        <v>304</v>
      </c>
      <c r="K1" s="316" t="s">
        <v>301</v>
      </c>
      <c r="L1" s="318" t="s">
        <v>302</v>
      </c>
      <c r="M1" s="319" t="s">
        <v>303</v>
      </c>
      <c r="N1" s="321" t="s">
        <v>305</v>
      </c>
      <c r="O1" s="316" t="s">
        <v>301</v>
      </c>
      <c r="P1" s="318" t="s">
        <v>302</v>
      </c>
      <c r="Q1" s="322" t="s">
        <v>303</v>
      </c>
      <c r="R1" s="321" t="s">
        <v>306</v>
      </c>
      <c r="S1" s="316" t="s">
        <v>301</v>
      </c>
      <c r="T1" s="318" t="s">
        <v>302</v>
      </c>
      <c r="U1" s="322" t="s">
        <v>303</v>
      </c>
      <c r="V1" s="321" t="s">
        <v>307</v>
      </c>
      <c r="W1" s="317" t="s">
        <v>301</v>
      </c>
      <c r="X1" s="318" t="s">
        <v>302</v>
      </c>
      <c r="Y1" s="322" t="s">
        <v>303</v>
      </c>
      <c r="Z1" s="321" t="s">
        <v>308</v>
      </c>
      <c r="AA1" s="317" t="s">
        <v>301</v>
      </c>
      <c r="AB1" s="323" t="s">
        <v>302</v>
      </c>
      <c r="AC1" s="322" t="s">
        <v>303</v>
      </c>
      <c r="AD1" s="321" t="s">
        <v>309</v>
      </c>
      <c r="AE1" s="316" t="s">
        <v>301</v>
      </c>
      <c r="AF1" s="324" t="s">
        <v>302</v>
      </c>
      <c r="AG1" s="319" t="s">
        <v>303</v>
      </c>
      <c r="AH1" s="321" t="s">
        <v>310</v>
      </c>
      <c r="AI1" s="320" t="s">
        <v>301</v>
      </c>
      <c r="AJ1" s="324" t="s">
        <v>302</v>
      </c>
      <c r="AK1" s="319" t="s">
        <v>303</v>
      </c>
      <c r="AL1" s="321" t="s">
        <v>311</v>
      </c>
      <c r="AM1" s="320" t="s">
        <v>301</v>
      </c>
      <c r="AN1" s="324" t="s">
        <v>302</v>
      </c>
      <c r="AO1" s="319" t="s">
        <v>303</v>
      </c>
      <c r="AP1" s="321" t="s">
        <v>312</v>
      </c>
      <c r="AQ1" s="320" t="s">
        <v>301</v>
      </c>
      <c r="AR1" s="324" t="s">
        <v>302</v>
      </c>
      <c r="AS1" s="325" t="s">
        <v>303</v>
      </c>
    </row>
    <row r="2" spans="2:45" x14ac:dyDescent="0.25">
      <c r="B2" s="326">
        <v>5000</v>
      </c>
      <c r="C2" s="327"/>
      <c r="D2" s="13">
        <v>284250</v>
      </c>
      <c r="E2" s="328" t="s">
        <v>313</v>
      </c>
      <c r="F2" s="329" t="s">
        <v>314</v>
      </c>
      <c r="G2" s="327"/>
      <c r="H2" s="330">
        <v>209403.81</v>
      </c>
      <c r="I2" s="328" t="s">
        <v>315</v>
      </c>
      <c r="J2" s="329" t="s">
        <v>273</v>
      </c>
      <c r="K2" s="331"/>
      <c r="L2" s="332">
        <v>75000</v>
      </c>
      <c r="M2" s="333" t="s">
        <v>316</v>
      </c>
      <c r="N2" s="334" t="s">
        <v>267</v>
      </c>
      <c r="O2" s="335"/>
      <c r="P2" s="88">
        <v>250000</v>
      </c>
      <c r="Q2" s="26" t="s">
        <v>317</v>
      </c>
      <c r="R2" s="336" t="s">
        <v>267</v>
      </c>
      <c r="S2" s="335"/>
      <c r="T2" s="88">
        <v>2000000</v>
      </c>
      <c r="U2" s="26" t="s">
        <v>318</v>
      </c>
      <c r="V2" s="336" t="s">
        <v>273</v>
      </c>
      <c r="W2" s="335"/>
      <c r="X2" s="16">
        <v>117907</v>
      </c>
      <c r="Y2" s="337" t="s">
        <v>319</v>
      </c>
      <c r="Z2" s="322" t="s">
        <v>267</v>
      </c>
      <c r="AA2" s="331"/>
      <c r="AB2" s="13">
        <v>375000</v>
      </c>
      <c r="AC2" s="328" t="s">
        <v>231</v>
      </c>
      <c r="AD2" s="322" t="s">
        <v>320</v>
      </c>
      <c r="AE2" s="331"/>
      <c r="AF2" s="29">
        <v>375000</v>
      </c>
      <c r="AG2" s="328" t="s">
        <v>231</v>
      </c>
      <c r="AH2" s="322" t="s">
        <v>320</v>
      </c>
      <c r="AI2" s="331"/>
      <c r="AJ2" s="13">
        <v>375000</v>
      </c>
      <c r="AK2" s="328" t="s">
        <v>231</v>
      </c>
      <c r="AL2" s="322" t="s">
        <v>320</v>
      </c>
      <c r="AM2" s="331"/>
      <c r="AN2" s="13">
        <v>480694</v>
      </c>
      <c r="AO2" s="338" t="s">
        <v>321</v>
      </c>
      <c r="AP2" s="322" t="s">
        <v>322</v>
      </c>
      <c r="AQ2" s="331"/>
      <c r="AR2" s="13">
        <v>480694</v>
      </c>
      <c r="AS2" s="338" t="s">
        <v>321</v>
      </c>
    </row>
    <row r="3" spans="2:45" x14ac:dyDescent="0.25">
      <c r="B3" s="326">
        <v>2000</v>
      </c>
      <c r="C3" s="327"/>
      <c r="D3" s="13">
        <v>400000</v>
      </c>
      <c r="E3" s="328" t="s">
        <v>323</v>
      </c>
      <c r="F3" s="329" t="s">
        <v>324</v>
      </c>
      <c r="G3" s="327"/>
      <c r="H3" s="13">
        <v>400000</v>
      </c>
      <c r="I3" s="328" t="s">
        <v>221</v>
      </c>
      <c r="J3" s="329" t="s">
        <v>273</v>
      </c>
      <c r="K3" s="331"/>
      <c r="L3" s="332">
        <v>30000</v>
      </c>
      <c r="M3" s="333" t="s">
        <v>325</v>
      </c>
      <c r="N3" s="334" t="s">
        <v>267</v>
      </c>
      <c r="O3" s="335"/>
      <c r="P3" s="88">
        <v>60900</v>
      </c>
      <c r="Q3" s="26" t="s">
        <v>326</v>
      </c>
      <c r="R3" s="336" t="s">
        <v>327</v>
      </c>
      <c r="S3" s="335"/>
      <c r="T3" s="88">
        <v>1200000</v>
      </c>
      <c r="U3" s="26" t="s">
        <v>328</v>
      </c>
      <c r="V3" s="336" t="s">
        <v>273</v>
      </c>
      <c r="W3" s="335"/>
      <c r="X3" s="8">
        <v>424005.81</v>
      </c>
      <c r="Y3" s="337" t="s">
        <v>329</v>
      </c>
      <c r="Z3" s="322" t="s">
        <v>273</v>
      </c>
      <c r="AA3" s="331"/>
      <c r="AB3" s="13">
        <v>480694</v>
      </c>
      <c r="AC3" s="338" t="s">
        <v>321</v>
      </c>
      <c r="AD3" s="322" t="s">
        <v>322</v>
      </c>
      <c r="AE3" s="331"/>
      <c r="AF3" s="13">
        <v>480694</v>
      </c>
      <c r="AG3" s="338" t="s">
        <v>321</v>
      </c>
      <c r="AH3" s="322" t="s">
        <v>322</v>
      </c>
      <c r="AI3" s="331"/>
      <c r="AJ3" s="13">
        <v>480694</v>
      </c>
      <c r="AK3" s="338" t="s">
        <v>321</v>
      </c>
      <c r="AL3" s="322" t="s">
        <v>322</v>
      </c>
      <c r="AM3" s="331"/>
      <c r="AN3" s="13">
        <v>2800000</v>
      </c>
      <c r="AO3" s="339" t="s">
        <v>330</v>
      </c>
      <c r="AP3" s="322" t="s">
        <v>331</v>
      </c>
      <c r="AQ3" s="331"/>
      <c r="AR3" s="13">
        <v>2191675</v>
      </c>
      <c r="AS3" s="339" t="s">
        <v>332</v>
      </c>
    </row>
    <row r="4" spans="2:45" x14ac:dyDescent="0.25">
      <c r="B4" s="326">
        <v>16500</v>
      </c>
      <c r="C4" s="327"/>
      <c r="D4" s="13">
        <v>45000</v>
      </c>
      <c r="E4" s="328" t="s">
        <v>258</v>
      </c>
      <c r="F4" s="329" t="s">
        <v>333</v>
      </c>
      <c r="G4" s="327"/>
      <c r="H4" s="13">
        <v>225000</v>
      </c>
      <c r="I4" s="328" t="s">
        <v>222</v>
      </c>
      <c r="J4" s="329" t="s">
        <v>273</v>
      </c>
      <c r="K4" s="331"/>
      <c r="L4" s="332">
        <v>1365000</v>
      </c>
      <c r="M4" s="333" t="s">
        <v>334</v>
      </c>
      <c r="N4" s="334" t="s">
        <v>335</v>
      </c>
      <c r="O4" s="335"/>
      <c r="P4" s="88">
        <v>332000</v>
      </c>
      <c r="Q4" s="26" t="s">
        <v>336</v>
      </c>
      <c r="R4" s="336" t="s">
        <v>273</v>
      </c>
      <c r="S4" s="335"/>
      <c r="T4" s="88">
        <v>2900</v>
      </c>
      <c r="U4" s="26" t="s">
        <v>337</v>
      </c>
      <c r="V4" s="336" t="s">
        <v>267</v>
      </c>
      <c r="W4" s="335"/>
      <c r="X4" s="13">
        <v>1978679</v>
      </c>
      <c r="Y4" s="337" t="s">
        <v>338</v>
      </c>
      <c r="Z4" s="322" t="s">
        <v>273</v>
      </c>
      <c r="AA4" s="331"/>
      <c r="AB4" s="29">
        <v>162500</v>
      </c>
      <c r="AC4" s="26" t="s">
        <v>339</v>
      </c>
      <c r="AD4" s="336" t="s">
        <v>340</v>
      </c>
      <c r="AE4" s="331"/>
      <c r="AF4" s="29">
        <v>162500</v>
      </c>
      <c r="AG4" s="26" t="s">
        <v>339</v>
      </c>
      <c r="AH4" s="336" t="s">
        <v>341</v>
      </c>
      <c r="AI4" s="331"/>
      <c r="AJ4" s="13">
        <v>1343700.87</v>
      </c>
      <c r="AK4" s="337" t="s">
        <v>342</v>
      </c>
      <c r="AL4" s="322" t="s">
        <v>322</v>
      </c>
      <c r="AM4" s="331"/>
      <c r="AN4" s="13">
        <v>2191675</v>
      </c>
      <c r="AO4" s="339" t="s">
        <v>332</v>
      </c>
      <c r="AP4" s="322" t="s">
        <v>343</v>
      </c>
      <c r="AQ4" s="331"/>
      <c r="AR4" s="13">
        <v>4890333.33</v>
      </c>
      <c r="AS4" s="337" t="s">
        <v>344</v>
      </c>
    </row>
    <row r="5" spans="2:45" x14ac:dyDescent="0.25">
      <c r="B5" s="340"/>
      <c r="C5" s="327"/>
      <c r="D5" s="231">
        <v>100000</v>
      </c>
      <c r="E5" s="341" t="s">
        <v>345</v>
      </c>
      <c r="F5" s="342" t="s">
        <v>324</v>
      </c>
      <c r="G5" s="327"/>
      <c r="H5" s="231">
        <v>91400</v>
      </c>
      <c r="I5" s="341" t="s">
        <v>346</v>
      </c>
      <c r="J5" s="342" t="s">
        <v>273</v>
      </c>
      <c r="K5" s="331"/>
      <c r="L5" s="343">
        <v>100000</v>
      </c>
      <c r="M5" s="344" t="s">
        <v>347</v>
      </c>
      <c r="N5" s="345" t="s">
        <v>273</v>
      </c>
      <c r="O5" s="335"/>
      <c r="P5" s="346">
        <v>78200</v>
      </c>
      <c r="Q5" s="26" t="s">
        <v>348</v>
      </c>
      <c r="R5" s="336" t="s">
        <v>273</v>
      </c>
      <c r="S5" s="335"/>
      <c r="T5" s="88">
        <v>13500</v>
      </c>
      <c r="U5" s="26" t="s">
        <v>349</v>
      </c>
      <c r="V5" s="336" t="s">
        <v>267</v>
      </c>
      <c r="W5" s="335"/>
      <c r="X5" s="13">
        <v>278508.03999999998</v>
      </c>
      <c r="Y5" s="337" t="s">
        <v>350</v>
      </c>
      <c r="Z5" s="322" t="s">
        <v>273</v>
      </c>
      <c r="AA5" s="331"/>
      <c r="AB5" s="13">
        <v>1343700.87</v>
      </c>
      <c r="AC5" s="337" t="s">
        <v>342</v>
      </c>
      <c r="AD5" s="322" t="s">
        <v>322</v>
      </c>
      <c r="AE5" s="331"/>
      <c r="AF5" s="29">
        <v>1343700.87</v>
      </c>
      <c r="AG5" s="337" t="s">
        <v>342</v>
      </c>
      <c r="AH5" s="322" t="s">
        <v>322</v>
      </c>
      <c r="AI5" s="331"/>
      <c r="AJ5" s="29">
        <v>4815000</v>
      </c>
      <c r="AK5" s="339" t="s">
        <v>351</v>
      </c>
      <c r="AL5" s="322" t="s">
        <v>322</v>
      </c>
      <c r="AM5" s="331"/>
      <c r="AN5" s="3">
        <v>1200000</v>
      </c>
      <c r="AO5" s="347" t="s">
        <v>352</v>
      </c>
      <c r="AP5" s="322" t="s">
        <v>353</v>
      </c>
      <c r="AQ5" s="331"/>
      <c r="AR5" s="13">
        <v>2000000</v>
      </c>
      <c r="AS5" s="339" t="s">
        <v>354</v>
      </c>
    </row>
    <row r="6" spans="2:45" x14ac:dyDescent="0.25">
      <c r="B6" s="8">
        <v>181500</v>
      </c>
      <c r="C6" s="348"/>
      <c r="D6" s="13">
        <v>341000</v>
      </c>
      <c r="E6" s="328" t="s">
        <v>313</v>
      </c>
      <c r="F6" s="349" t="s">
        <v>314</v>
      </c>
      <c r="G6" s="348"/>
      <c r="H6" s="13">
        <v>62000</v>
      </c>
      <c r="I6" s="328" t="s">
        <v>355</v>
      </c>
      <c r="J6" s="349" t="s">
        <v>273</v>
      </c>
      <c r="K6" s="348"/>
      <c r="L6" s="3">
        <v>100000</v>
      </c>
      <c r="M6" s="333" t="s">
        <v>356</v>
      </c>
      <c r="N6" s="350" t="s">
        <v>273</v>
      </c>
      <c r="O6" s="351"/>
      <c r="P6" s="8">
        <v>128380</v>
      </c>
      <c r="Q6" s="26" t="s">
        <v>357</v>
      </c>
      <c r="R6" s="336" t="s">
        <v>273</v>
      </c>
      <c r="S6" s="335"/>
      <c r="T6" s="88">
        <v>25565.99</v>
      </c>
      <c r="U6" s="26" t="s">
        <v>358</v>
      </c>
      <c r="V6" s="336" t="s">
        <v>267</v>
      </c>
      <c r="W6" s="335"/>
      <c r="X6" s="13">
        <v>1000000</v>
      </c>
      <c r="Y6" s="337" t="s">
        <v>318</v>
      </c>
      <c r="Z6" s="322" t="s">
        <v>273</v>
      </c>
      <c r="AA6" s="331"/>
      <c r="AB6" s="8">
        <v>46900</v>
      </c>
      <c r="AC6" s="338" t="s">
        <v>359</v>
      </c>
      <c r="AD6" s="322" t="s">
        <v>219</v>
      </c>
      <c r="AE6" s="331"/>
      <c r="AF6" s="29">
        <v>4815000</v>
      </c>
      <c r="AG6" s="339" t="s">
        <v>351</v>
      </c>
      <c r="AH6" s="322" t="s">
        <v>322</v>
      </c>
      <c r="AI6" s="331"/>
      <c r="AJ6" s="3">
        <v>500000</v>
      </c>
      <c r="AK6" s="352" t="s">
        <v>360</v>
      </c>
      <c r="AL6" s="353" t="s">
        <v>322</v>
      </c>
      <c r="AM6" s="331"/>
      <c r="AN6" s="3">
        <v>155000</v>
      </c>
      <c r="AO6" s="347" t="s">
        <v>361</v>
      </c>
      <c r="AP6" s="322" t="s">
        <v>273</v>
      </c>
      <c r="AQ6" s="331"/>
      <c r="AR6" s="13">
        <v>2047231.65</v>
      </c>
      <c r="AS6" s="339" t="s">
        <v>362</v>
      </c>
    </row>
    <row r="7" spans="2:45" x14ac:dyDescent="0.25">
      <c r="B7" s="8">
        <v>4000</v>
      </c>
      <c r="C7" s="348"/>
      <c r="D7" s="13">
        <v>35000</v>
      </c>
      <c r="E7" s="328" t="s">
        <v>363</v>
      </c>
      <c r="F7" s="349" t="s">
        <v>314</v>
      </c>
      <c r="G7" s="348"/>
      <c r="H7" s="13">
        <v>10000</v>
      </c>
      <c r="I7" s="328" t="s">
        <v>364</v>
      </c>
      <c r="J7" s="354" t="s">
        <v>267</v>
      </c>
      <c r="K7" s="348"/>
      <c r="L7" s="3">
        <v>26618.76</v>
      </c>
      <c r="M7" s="333" t="s">
        <v>365</v>
      </c>
      <c r="N7" s="350" t="s">
        <v>267</v>
      </c>
      <c r="O7" s="351"/>
      <c r="P7" s="8">
        <v>154700</v>
      </c>
      <c r="Q7" s="26" t="s">
        <v>366</v>
      </c>
      <c r="R7" s="336" t="s">
        <v>267</v>
      </c>
      <c r="S7" s="335"/>
      <c r="T7" s="88">
        <v>87828</v>
      </c>
      <c r="U7" s="26" t="s">
        <v>367</v>
      </c>
      <c r="V7" s="336" t="s">
        <v>267</v>
      </c>
      <c r="W7" s="335"/>
      <c r="X7" s="13">
        <v>550000</v>
      </c>
      <c r="Y7" s="337" t="s">
        <v>368</v>
      </c>
      <c r="Z7" s="322" t="s">
        <v>273</v>
      </c>
      <c r="AA7" s="331"/>
      <c r="AB7" s="8">
        <v>9000</v>
      </c>
      <c r="AC7" s="338" t="s">
        <v>369</v>
      </c>
      <c r="AD7" s="322" t="s">
        <v>219</v>
      </c>
      <c r="AE7" s="331"/>
      <c r="AF7" s="8">
        <v>766800</v>
      </c>
      <c r="AG7" s="337" t="s">
        <v>370</v>
      </c>
      <c r="AH7" s="322" t="s">
        <v>322</v>
      </c>
      <c r="AI7" s="331"/>
      <c r="AJ7" s="3">
        <v>500000</v>
      </c>
      <c r="AK7" s="352" t="s">
        <v>371</v>
      </c>
      <c r="AL7" s="353" t="s">
        <v>219</v>
      </c>
      <c r="AM7" s="331"/>
      <c r="AN7" s="13">
        <v>150000</v>
      </c>
      <c r="AO7" s="339" t="s">
        <v>372</v>
      </c>
      <c r="AP7" s="322" t="s">
        <v>273</v>
      </c>
      <c r="AQ7" s="331"/>
      <c r="AR7" s="13">
        <v>8385500</v>
      </c>
      <c r="AS7" s="339" t="s">
        <v>373</v>
      </c>
    </row>
    <row r="8" spans="2:45" x14ac:dyDescent="0.25">
      <c r="B8" s="8">
        <v>42000</v>
      </c>
      <c r="C8" s="348"/>
      <c r="D8" s="13">
        <v>39000</v>
      </c>
      <c r="E8" s="328" t="s">
        <v>374</v>
      </c>
      <c r="F8" s="349" t="s">
        <v>314</v>
      </c>
      <c r="G8" s="348"/>
      <c r="H8" s="13">
        <v>692103</v>
      </c>
      <c r="I8" s="328" t="s">
        <v>375</v>
      </c>
      <c r="J8" s="349" t="s">
        <v>273</v>
      </c>
      <c r="K8" s="348"/>
      <c r="L8" s="3">
        <v>150000</v>
      </c>
      <c r="M8" s="333" t="s">
        <v>376</v>
      </c>
      <c r="N8" s="350" t="s">
        <v>273</v>
      </c>
      <c r="O8" s="351"/>
      <c r="P8" s="8">
        <v>95000</v>
      </c>
      <c r="Q8" s="26" t="s">
        <v>377</v>
      </c>
      <c r="R8" s="336" t="s">
        <v>267</v>
      </c>
      <c r="S8" s="335"/>
      <c r="T8" s="88">
        <v>149500</v>
      </c>
      <c r="U8" s="26" t="s">
        <v>378</v>
      </c>
      <c r="V8" s="336" t="s">
        <v>273</v>
      </c>
      <c r="W8" s="335"/>
      <c r="X8" s="13">
        <v>13774.05</v>
      </c>
      <c r="Y8" s="337" t="s">
        <v>379</v>
      </c>
      <c r="Z8" s="322" t="s">
        <v>267</v>
      </c>
      <c r="AA8" s="331"/>
      <c r="AB8" s="8">
        <v>2300000</v>
      </c>
      <c r="AC8" s="338" t="s">
        <v>380</v>
      </c>
      <c r="AD8" s="322" t="s">
        <v>273</v>
      </c>
      <c r="AE8" s="331"/>
      <c r="AF8" s="29">
        <v>200000</v>
      </c>
      <c r="AG8" s="339" t="s">
        <v>381</v>
      </c>
      <c r="AH8" s="322" t="s">
        <v>219</v>
      </c>
      <c r="AI8" s="331"/>
      <c r="AJ8" s="3">
        <v>1000000</v>
      </c>
      <c r="AK8" s="352" t="s">
        <v>318</v>
      </c>
      <c r="AL8" s="322" t="s">
        <v>273</v>
      </c>
      <c r="AM8" s="331"/>
      <c r="AN8" s="3">
        <v>34550</v>
      </c>
      <c r="AO8" s="347" t="s">
        <v>382</v>
      </c>
      <c r="AP8" s="353" t="s">
        <v>267</v>
      </c>
      <c r="AQ8" s="331"/>
      <c r="AR8" s="13">
        <v>629200</v>
      </c>
      <c r="AS8" s="337" t="s">
        <v>383</v>
      </c>
    </row>
    <row r="9" spans="2:45" x14ac:dyDescent="0.25">
      <c r="B9" s="268">
        <v>635250</v>
      </c>
      <c r="C9" s="348"/>
      <c r="D9" s="13">
        <v>40000</v>
      </c>
      <c r="E9" s="328" t="s">
        <v>384</v>
      </c>
      <c r="F9" s="349" t="s">
        <v>314</v>
      </c>
      <c r="G9" s="348"/>
      <c r="H9" s="13">
        <v>62678</v>
      </c>
      <c r="I9" s="328" t="s">
        <v>383</v>
      </c>
      <c r="J9" s="349" t="s">
        <v>273</v>
      </c>
      <c r="K9" s="355"/>
      <c r="L9" s="3">
        <f>SUM(L3:L8)</f>
        <v>1771618.76</v>
      </c>
      <c r="M9" s="333" t="s">
        <v>385</v>
      </c>
      <c r="N9" s="350" t="s">
        <v>273</v>
      </c>
      <c r="O9" s="351"/>
      <c r="P9" s="13">
        <v>20000</v>
      </c>
      <c r="Q9" s="26" t="s">
        <v>386</v>
      </c>
      <c r="R9" s="336" t="s">
        <v>267</v>
      </c>
      <c r="S9" s="335"/>
      <c r="T9" s="29">
        <v>136000</v>
      </c>
      <c r="U9" s="26" t="s">
        <v>387</v>
      </c>
      <c r="V9" s="336" t="s">
        <v>267</v>
      </c>
      <c r="W9" s="335"/>
      <c r="X9" s="13">
        <v>204360</v>
      </c>
      <c r="Y9" s="337" t="s">
        <v>388</v>
      </c>
      <c r="Z9" s="322" t="s">
        <v>389</v>
      </c>
      <c r="AA9" s="356"/>
      <c r="AB9" s="13">
        <v>300000</v>
      </c>
      <c r="AC9" s="338" t="s">
        <v>390</v>
      </c>
      <c r="AD9" s="322" t="s">
        <v>219</v>
      </c>
      <c r="AE9" s="356"/>
      <c r="AF9" s="29">
        <v>145000</v>
      </c>
      <c r="AG9" s="339" t="s">
        <v>391</v>
      </c>
      <c r="AH9" s="322" t="s">
        <v>219</v>
      </c>
      <c r="AI9" s="356"/>
      <c r="AJ9" s="13">
        <v>740000</v>
      </c>
      <c r="AK9" s="339" t="s">
        <v>392</v>
      </c>
      <c r="AL9" s="322" t="s">
        <v>273</v>
      </c>
      <c r="AM9" s="356"/>
      <c r="AN9" s="13">
        <v>630300</v>
      </c>
      <c r="AO9" s="339" t="s">
        <v>393</v>
      </c>
      <c r="AP9" s="322" t="s">
        <v>273</v>
      </c>
      <c r="AQ9" s="356"/>
      <c r="AR9" s="13">
        <v>565190</v>
      </c>
      <c r="AS9" s="337" t="s">
        <v>394</v>
      </c>
    </row>
    <row r="10" spans="2:45" x14ac:dyDescent="0.25">
      <c r="B10" s="357">
        <v>145000</v>
      </c>
      <c r="C10" s="327"/>
      <c r="D10" s="285">
        <v>200000</v>
      </c>
      <c r="E10" s="358" t="s">
        <v>395</v>
      </c>
      <c r="F10" s="359" t="s">
        <v>314</v>
      </c>
      <c r="G10" s="327"/>
      <c r="H10" s="285">
        <v>60000</v>
      </c>
      <c r="I10" s="358" t="s">
        <v>396</v>
      </c>
      <c r="J10" s="360" t="s">
        <v>267</v>
      </c>
      <c r="K10" s="356"/>
      <c r="L10" s="361">
        <v>300000</v>
      </c>
      <c r="M10" s="362" t="s">
        <v>397</v>
      </c>
      <c r="N10" s="363" t="s">
        <v>273</v>
      </c>
      <c r="O10" s="335"/>
      <c r="P10" s="364">
        <v>100000</v>
      </c>
      <c r="Q10" s="26" t="s">
        <v>398</v>
      </c>
      <c r="R10" s="336" t="s">
        <v>267</v>
      </c>
      <c r="S10" s="335"/>
      <c r="T10" s="29">
        <v>84200</v>
      </c>
      <c r="U10" s="26" t="s">
        <v>399</v>
      </c>
      <c r="V10" s="336" t="s">
        <v>267</v>
      </c>
      <c r="W10" s="335"/>
      <c r="X10" s="13">
        <v>64731</v>
      </c>
      <c r="Y10" s="337" t="s">
        <v>400</v>
      </c>
      <c r="Z10" s="322" t="s">
        <v>273</v>
      </c>
      <c r="AA10" s="356"/>
      <c r="AB10" s="13">
        <v>196000</v>
      </c>
      <c r="AC10" s="338" t="s">
        <v>401</v>
      </c>
      <c r="AD10" s="322" t="s">
        <v>219</v>
      </c>
      <c r="AE10" s="365"/>
      <c r="AF10" s="29">
        <v>22600</v>
      </c>
      <c r="AG10" s="339" t="s">
        <v>402</v>
      </c>
      <c r="AH10" s="322" t="s">
        <v>267</v>
      </c>
      <c r="AI10" s="356"/>
      <c r="AJ10" s="13">
        <v>500000</v>
      </c>
      <c r="AK10" s="339" t="s">
        <v>403</v>
      </c>
      <c r="AL10" s="322" t="s">
        <v>273</v>
      </c>
      <c r="AM10" s="356"/>
      <c r="AN10" s="13">
        <v>2047231.65</v>
      </c>
      <c r="AO10" s="339" t="s">
        <v>362</v>
      </c>
      <c r="AP10" s="322" t="s">
        <v>273</v>
      </c>
      <c r="AQ10" s="356"/>
      <c r="AR10" s="3">
        <v>14110.16</v>
      </c>
      <c r="AS10" s="347" t="s">
        <v>404</v>
      </c>
    </row>
    <row r="11" spans="2:45" x14ac:dyDescent="0.25">
      <c r="B11" s="326">
        <v>2500</v>
      </c>
      <c r="C11" s="327"/>
      <c r="D11" s="13">
        <v>1851300</v>
      </c>
      <c r="E11" s="328" t="s">
        <v>272</v>
      </c>
      <c r="F11" s="329" t="s">
        <v>273</v>
      </c>
      <c r="G11" s="327"/>
      <c r="H11" s="13">
        <v>30000</v>
      </c>
      <c r="I11" s="328" t="s">
        <v>405</v>
      </c>
      <c r="J11" s="329" t="s">
        <v>273</v>
      </c>
      <c r="K11" s="356"/>
      <c r="L11" s="332">
        <v>355354.4</v>
      </c>
      <c r="M11" s="333" t="s">
        <v>406</v>
      </c>
      <c r="N11" s="334" t="s">
        <v>273</v>
      </c>
      <c r="O11" s="335"/>
      <c r="P11" s="29">
        <v>1500000</v>
      </c>
      <c r="Q11" s="26" t="s">
        <v>318</v>
      </c>
      <c r="R11" s="336" t="s">
        <v>273</v>
      </c>
      <c r="S11" s="335"/>
      <c r="T11" s="29">
        <v>51700</v>
      </c>
      <c r="U11" s="26" t="s">
        <v>407</v>
      </c>
      <c r="V11" s="336" t="s">
        <v>267</v>
      </c>
      <c r="W11" s="335"/>
      <c r="X11" s="13">
        <v>377100</v>
      </c>
      <c r="Y11" s="337" t="s">
        <v>393</v>
      </c>
      <c r="Z11" s="322" t="s">
        <v>273</v>
      </c>
      <c r="AA11" s="356"/>
      <c r="AB11" s="13">
        <v>275000</v>
      </c>
      <c r="AC11" s="338" t="s">
        <v>366</v>
      </c>
      <c r="AD11" s="322" t="s">
        <v>273</v>
      </c>
      <c r="AE11" s="365"/>
      <c r="AF11" s="29">
        <v>50000</v>
      </c>
      <c r="AG11" s="339" t="s">
        <v>408</v>
      </c>
      <c r="AH11" s="322" t="s">
        <v>314</v>
      </c>
      <c r="AI11" s="356"/>
      <c r="AJ11" s="13">
        <v>50000</v>
      </c>
      <c r="AK11" s="339" t="s">
        <v>401</v>
      </c>
      <c r="AL11" s="322" t="s">
        <v>219</v>
      </c>
      <c r="AM11" s="356"/>
      <c r="AN11" s="13">
        <v>8385500</v>
      </c>
      <c r="AO11" s="339" t="s">
        <v>373</v>
      </c>
      <c r="AP11" s="322" t="s">
        <v>343</v>
      </c>
      <c r="AQ11" s="356"/>
      <c r="AR11" s="3">
        <v>420350</v>
      </c>
      <c r="AS11" s="347" t="s">
        <v>409</v>
      </c>
    </row>
    <row r="12" spans="2:45" x14ac:dyDescent="0.25">
      <c r="B12" s="326">
        <v>196269.71</v>
      </c>
      <c r="C12" s="327"/>
      <c r="D12" s="13">
        <v>299908.05</v>
      </c>
      <c r="E12" s="328" t="s">
        <v>410</v>
      </c>
      <c r="F12" s="329" t="s">
        <v>411</v>
      </c>
      <c r="G12" s="327"/>
      <c r="H12" s="13">
        <v>50000</v>
      </c>
      <c r="I12" s="328" t="s">
        <v>412</v>
      </c>
      <c r="J12" s="329" t="s">
        <v>273</v>
      </c>
      <c r="K12" s="356"/>
      <c r="L12" s="332">
        <v>45170</v>
      </c>
      <c r="M12" s="333" t="s">
        <v>406</v>
      </c>
      <c r="N12" s="334" t="s">
        <v>273</v>
      </c>
      <c r="O12" s="335"/>
      <c r="P12" s="29">
        <v>1380420.8</v>
      </c>
      <c r="Q12" s="26" t="s">
        <v>413</v>
      </c>
      <c r="R12" s="336" t="s">
        <v>273</v>
      </c>
      <c r="S12" s="335"/>
      <c r="T12" s="29">
        <v>77550</v>
      </c>
      <c r="U12" s="26" t="s">
        <v>382</v>
      </c>
      <c r="V12" s="336" t="s">
        <v>267</v>
      </c>
      <c r="W12" s="335"/>
      <c r="X12" s="13">
        <v>77880</v>
      </c>
      <c r="Y12" s="337" t="s">
        <v>414</v>
      </c>
      <c r="Z12" s="322" t="s">
        <v>273</v>
      </c>
      <c r="AA12" s="356"/>
      <c r="AB12" s="13">
        <v>250000</v>
      </c>
      <c r="AC12" s="338" t="s">
        <v>318</v>
      </c>
      <c r="AD12" s="322" t="s">
        <v>273</v>
      </c>
      <c r="AE12" s="365"/>
      <c r="AF12" s="29">
        <v>107600</v>
      </c>
      <c r="AG12" s="339" t="s">
        <v>359</v>
      </c>
      <c r="AH12" s="322" t="s">
        <v>219</v>
      </c>
      <c r="AI12" s="356"/>
      <c r="AJ12" s="13">
        <v>50000</v>
      </c>
      <c r="AK12" s="339" t="s">
        <v>415</v>
      </c>
      <c r="AL12" s="322" t="s">
        <v>219</v>
      </c>
      <c r="AM12" s="356"/>
      <c r="AN12" s="13">
        <v>34550</v>
      </c>
      <c r="AO12" s="339" t="s">
        <v>382</v>
      </c>
      <c r="AP12" s="322" t="s">
        <v>267</v>
      </c>
      <c r="AQ12" s="356"/>
      <c r="AR12" s="13">
        <v>76420</v>
      </c>
      <c r="AS12" s="339" t="s">
        <v>416</v>
      </c>
    </row>
    <row r="13" spans="2:45" x14ac:dyDescent="0.25">
      <c r="B13" s="326">
        <v>20570</v>
      </c>
      <c r="C13" s="327"/>
      <c r="D13" s="13">
        <v>107764.32</v>
      </c>
      <c r="E13" s="328" t="s">
        <v>417</v>
      </c>
      <c r="F13" s="329" t="s">
        <v>273</v>
      </c>
      <c r="G13" s="327"/>
      <c r="H13" s="13">
        <v>14200</v>
      </c>
      <c r="I13" s="328" t="s">
        <v>418</v>
      </c>
      <c r="J13" s="329" t="s">
        <v>273</v>
      </c>
      <c r="K13" s="356"/>
      <c r="L13" s="332">
        <v>30000</v>
      </c>
      <c r="M13" s="333" t="s">
        <v>374</v>
      </c>
      <c r="N13" s="334" t="s">
        <v>273</v>
      </c>
      <c r="O13" s="335"/>
      <c r="P13" s="29">
        <v>140500</v>
      </c>
      <c r="Q13" s="26" t="s">
        <v>419</v>
      </c>
      <c r="R13" s="336" t="s">
        <v>273</v>
      </c>
      <c r="S13" s="335"/>
      <c r="T13" s="29">
        <v>99800</v>
      </c>
      <c r="U13" s="26" t="s">
        <v>348</v>
      </c>
      <c r="V13" s="336" t="s">
        <v>273</v>
      </c>
      <c r="W13" s="335"/>
      <c r="X13" s="13">
        <v>250000</v>
      </c>
      <c r="Y13" s="337" t="s">
        <v>420</v>
      </c>
      <c r="Z13" s="322" t="s">
        <v>273</v>
      </c>
      <c r="AA13" s="356"/>
      <c r="AB13" s="13">
        <v>70000</v>
      </c>
      <c r="AC13" s="338" t="s">
        <v>421</v>
      </c>
      <c r="AD13" s="322" t="s">
        <v>219</v>
      </c>
      <c r="AE13" s="365"/>
      <c r="AF13" s="29">
        <v>70000</v>
      </c>
      <c r="AG13" s="339" t="s">
        <v>422</v>
      </c>
      <c r="AH13" s="322" t="s">
        <v>219</v>
      </c>
      <c r="AI13" s="356"/>
      <c r="AJ13" s="13">
        <v>47978.85</v>
      </c>
      <c r="AK13" s="339" t="s">
        <v>423</v>
      </c>
      <c r="AL13" s="322" t="s">
        <v>267</v>
      </c>
      <c r="AM13" s="356"/>
      <c r="AN13" s="13">
        <v>40000</v>
      </c>
      <c r="AO13" s="339" t="s">
        <v>424</v>
      </c>
      <c r="AP13" s="322" t="s">
        <v>267</v>
      </c>
      <c r="AQ13" s="356"/>
      <c r="AR13" s="13">
        <v>40400</v>
      </c>
      <c r="AS13" s="339" t="s">
        <v>425</v>
      </c>
    </row>
    <row r="14" spans="2:45" x14ac:dyDescent="0.25">
      <c r="B14" s="326">
        <v>450000</v>
      </c>
      <c r="C14" s="327"/>
      <c r="D14" s="13">
        <v>532917.5</v>
      </c>
      <c r="E14" s="328" t="s">
        <v>410</v>
      </c>
      <c r="F14" s="329" t="s">
        <v>273</v>
      </c>
      <c r="G14" s="327"/>
      <c r="H14" s="13">
        <v>903285.56</v>
      </c>
      <c r="I14" s="328" t="s">
        <v>426</v>
      </c>
      <c r="J14" s="329" t="s">
        <v>273</v>
      </c>
      <c r="K14" s="356"/>
      <c r="L14" s="332">
        <v>200000</v>
      </c>
      <c r="M14" s="333" t="s">
        <v>270</v>
      </c>
      <c r="N14" s="334" t="s">
        <v>273</v>
      </c>
      <c r="O14" s="335"/>
      <c r="P14" s="29">
        <v>158000</v>
      </c>
      <c r="Q14" s="26" t="s">
        <v>427</v>
      </c>
      <c r="R14" s="336" t="s">
        <v>267</v>
      </c>
      <c r="S14" s="335"/>
      <c r="T14" s="29">
        <v>98000</v>
      </c>
      <c r="U14" s="26" t="s">
        <v>366</v>
      </c>
      <c r="V14" s="336" t="s">
        <v>267</v>
      </c>
      <c r="W14" s="335"/>
      <c r="X14" s="13">
        <v>50000</v>
      </c>
      <c r="Y14" s="337" t="s">
        <v>428</v>
      </c>
      <c r="Z14" s="322" t="s">
        <v>389</v>
      </c>
      <c r="AA14" s="356"/>
      <c r="AB14" s="13">
        <v>85000</v>
      </c>
      <c r="AC14" s="338" t="s">
        <v>429</v>
      </c>
      <c r="AD14" s="322" t="s">
        <v>267</v>
      </c>
      <c r="AE14" s="365"/>
      <c r="AF14" s="29">
        <v>50000</v>
      </c>
      <c r="AG14" s="339" t="s">
        <v>401</v>
      </c>
      <c r="AH14" s="322" t="s">
        <v>219</v>
      </c>
      <c r="AI14" s="356"/>
      <c r="AJ14" s="13">
        <v>99149.1</v>
      </c>
      <c r="AK14" s="339" t="s">
        <v>430</v>
      </c>
      <c r="AL14" s="322" t="s">
        <v>273</v>
      </c>
      <c r="AM14" s="356"/>
      <c r="AN14" s="13">
        <v>873003.36</v>
      </c>
      <c r="AO14" s="339" t="s">
        <v>431</v>
      </c>
      <c r="AP14" s="322" t="s">
        <v>273</v>
      </c>
      <c r="AQ14" s="356"/>
      <c r="AR14" s="13">
        <v>107500</v>
      </c>
      <c r="AS14" s="339" t="s">
        <v>409</v>
      </c>
    </row>
    <row r="15" spans="2:45" x14ac:dyDescent="0.25">
      <c r="B15" s="326">
        <v>105000</v>
      </c>
      <c r="C15" s="327"/>
      <c r="D15" s="13">
        <v>169000</v>
      </c>
      <c r="E15" s="328" t="s">
        <v>432</v>
      </c>
      <c r="F15" s="329" t="s">
        <v>273</v>
      </c>
      <c r="G15" s="327"/>
      <c r="H15" s="13">
        <v>168790</v>
      </c>
      <c r="I15" s="328" t="s">
        <v>433</v>
      </c>
      <c r="J15" s="329" t="s">
        <v>273</v>
      </c>
      <c r="K15" s="356"/>
      <c r="L15" s="332">
        <v>200000</v>
      </c>
      <c r="M15" s="333" t="s">
        <v>434</v>
      </c>
      <c r="N15" s="334" t="s">
        <v>273</v>
      </c>
      <c r="O15" s="335"/>
      <c r="P15" s="29">
        <v>100000</v>
      </c>
      <c r="Q15" s="26" t="s">
        <v>435</v>
      </c>
      <c r="R15" s="336" t="s">
        <v>267</v>
      </c>
      <c r="S15" s="335"/>
      <c r="T15" s="29">
        <v>66830.990000000005</v>
      </c>
      <c r="U15" s="26" t="s">
        <v>436</v>
      </c>
      <c r="V15" s="336" t="s">
        <v>267</v>
      </c>
      <c r="W15" s="335"/>
      <c r="X15" s="13">
        <v>1388030.63</v>
      </c>
      <c r="Y15" s="366" t="s">
        <v>437</v>
      </c>
      <c r="Z15" s="322" t="s">
        <v>273</v>
      </c>
      <c r="AA15" s="356"/>
      <c r="AB15" s="13">
        <v>65000</v>
      </c>
      <c r="AC15" s="338" t="s">
        <v>429</v>
      </c>
      <c r="AD15" s="322" t="s">
        <v>267</v>
      </c>
      <c r="AE15" s="365"/>
      <c r="AF15" s="29">
        <v>200000</v>
      </c>
      <c r="AG15" s="339" t="s">
        <v>438</v>
      </c>
      <c r="AH15" s="322" t="s">
        <v>314</v>
      </c>
      <c r="AI15" s="356"/>
      <c r="AJ15" s="13">
        <v>811000</v>
      </c>
      <c r="AK15" s="339" t="s">
        <v>439</v>
      </c>
      <c r="AL15" s="322" t="s">
        <v>273</v>
      </c>
      <c r="AM15" s="356"/>
      <c r="AN15" s="13">
        <v>10000</v>
      </c>
      <c r="AO15" s="339" t="s">
        <v>440</v>
      </c>
      <c r="AP15" s="322" t="s">
        <v>267</v>
      </c>
      <c r="AQ15" s="356"/>
      <c r="AR15" s="13">
        <v>6300</v>
      </c>
      <c r="AS15" s="339" t="s">
        <v>409</v>
      </c>
    </row>
    <row r="16" spans="2:45" x14ac:dyDescent="0.25">
      <c r="B16" s="326">
        <v>485795</v>
      </c>
      <c r="C16" s="327"/>
      <c r="D16" s="13">
        <v>100000</v>
      </c>
      <c r="E16" s="328" t="s">
        <v>441</v>
      </c>
      <c r="F16" s="329" t="s">
        <v>273</v>
      </c>
      <c r="G16" s="327"/>
      <c r="H16" s="13">
        <v>61060</v>
      </c>
      <c r="I16" s="328" t="s">
        <v>442</v>
      </c>
      <c r="J16" s="329" t="s">
        <v>273</v>
      </c>
      <c r="K16" s="356"/>
      <c r="L16" s="332">
        <v>334800</v>
      </c>
      <c r="M16" s="333" t="s">
        <v>348</v>
      </c>
      <c r="N16" s="334" t="s">
        <v>273</v>
      </c>
      <c r="O16" s="335"/>
      <c r="P16" s="29">
        <v>250000</v>
      </c>
      <c r="Q16" s="26" t="s">
        <v>443</v>
      </c>
      <c r="R16" s="336" t="s">
        <v>444</v>
      </c>
      <c r="S16" s="335"/>
      <c r="T16" s="29">
        <v>140520</v>
      </c>
      <c r="U16" s="26" t="s">
        <v>445</v>
      </c>
      <c r="V16" s="336" t="s">
        <v>273</v>
      </c>
      <c r="W16" s="335"/>
      <c r="X16" s="13">
        <v>38200</v>
      </c>
      <c r="Y16" s="337" t="s">
        <v>446</v>
      </c>
      <c r="Z16" s="322" t="s">
        <v>267</v>
      </c>
      <c r="AA16" s="356"/>
      <c r="AB16" s="13">
        <v>32100</v>
      </c>
      <c r="AC16" s="338" t="s">
        <v>359</v>
      </c>
      <c r="AD16" s="322" t="s">
        <v>267</v>
      </c>
      <c r="AE16" s="365"/>
      <c r="AF16" s="29">
        <v>69150</v>
      </c>
      <c r="AG16" s="339" t="s">
        <v>382</v>
      </c>
      <c r="AH16" s="322" t="s">
        <v>267</v>
      </c>
      <c r="AI16" s="356"/>
      <c r="AJ16" s="13">
        <v>30000</v>
      </c>
      <c r="AK16" s="339" t="s">
        <v>443</v>
      </c>
      <c r="AL16" s="322" t="s">
        <v>267</v>
      </c>
      <c r="AM16" s="356"/>
      <c r="AN16" s="13">
        <v>69600</v>
      </c>
      <c r="AO16" s="338" t="s">
        <v>359</v>
      </c>
      <c r="AP16" s="322" t="s">
        <v>273</v>
      </c>
      <c r="AQ16" s="356"/>
      <c r="AR16" s="13">
        <v>297700</v>
      </c>
      <c r="AS16" s="339" t="s">
        <v>447</v>
      </c>
    </row>
    <row r="17" spans="2:45" x14ac:dyDescent="0.25">
      <c r="B17" s="326">
        <v>50000</v>
      </c>
      <c r="C17" s="327"/>
      <c r="D17" s="13">
        <v>500000</v>
      </c>
      <c r="E17" s="328" t="s">
        <v>448</v>
      </c>
      <c r="F17" s="329" t="s">
        <v>273</v>
      </c>
      <c r="G17" s="327"/>
      <c r="H17" s="13">
        <v>50000</v>
      </c>
      <c r="I17" s="328" t="s">
        <v>449</v>
      </c>
      <c r="J17" s="319" t="s">
        <v>267</v>
      </c>
      <c r="K17" s="356"/>
      <c r="L17" s="332">
        <v>555000</v>
      </c>
      <c r="M17" s="333" t="s">
        <v>450</v>
      </c>
      <c r="N17" s="334" t="s">
        <v>273</v>
      </c>
      <c r="O17" s="335"/>
      <c r="P17" s="29">
        <v>13500</v>
      </c>
      <c r="Q17" s="26" t="s">
        <v>451</v>
      </c>
      <c r="R17" s="336" t="s">
        <v>267</v>
      </c>
      <c r="S17" s="335"/>
      <c r="T17" s="29">
        <v>329175.03999999998</v>
      </c>
      <c r="U17" s="26" t="s">
        <v>452</v>
      </c>
      <c r="V17" s="336" t="s">
        <v>267</v>
      </c>
      <c r="W17" s="335"/>
      <c r="X17" s="13">
        <v>72100</v>
      </c>
      <c r="Y17" s="337" t="s">
        <v>337</v>
      </c>
      <c r="Z17" s="322" t="s">
        <v>267</v>
      </c>
      <c r="AA17" s="356"/>
      <c r="AB17" s="13">
        <v>50000.12</v>
      </c>
      <c r="AC17" s="338" t="s">
        <v>453</v>
      </c>
      <c r="AD17" s="322" t="s">
        <v>267</v>
      </c>
      <c r="AE17" s="365"/>
      <c r="AF17" s="29">
        <v>315000</v>
      </c>
      <c r="AG17" s="339" t="s">
        <v>366</v>
      </c>
      <c r="AH17" s="322" t="s">
        <v>314</v>
      </c>
      <c r="AI17" s="356"/>
      <c r="AJ17" s="13">
        <v>288355.33</v>
      </c>
      <c r="AK17" s="339" t="s">
        <v>454</v>
      </c>
      <c r="AL17" s="322" t="s">
        <v>267</v>
      </c>
      <c r="AM17" s="356"/>
      <c r="AN17" s="13">
        <v>345000</v>
      </c>
      <c r="AO17" s="339" t="s">
        <v>455</v>
      </c>
      <c r="AP17" s="322" t="s">
        <v>219</v>
      </c>
      <c r="AQ17" s="356"/>
      <c r="AR17" s="13">
        <v>1000000</v>
      </c>
      <c r="AS17" s="339" t="s">
        <v>318</v>
      </c>
    </row>
    <row r="18" spans="2:45" x14ac:dyDescent="0.25">
      <c r="B18" s="326">
        <v>108240</v>
      </c>
      <c r="C18" s="327"/>
      <c r="D18" s="13">
        <v>100000</v>
      </c>
      <c r="E18" s="328" t="s">
        <v>456</v>
      </c>
      <c r="F18" s="329" t="s">
        <v>314</v>
      </c>
      <c r="G18" s="327"/>
      <c r="H18" s="13">
        <v>140900</v>
      </c>
      <c r="I18" s="328" t="s">
        <v>457</v>
      </c>
      <c r="J18" s="329" t="s">
        <v>273</v>
      </c>
      <c r="K18" s="356"/>
      <c r="L18" s="332">
        <v>39700</v>
      </c>
      <c r="M18" s="333" t="s">
        <v>382</v>
      </c>
      <c r="N18" s="334" t="s">
        <v>273</v>
      </c>
      <c r="O18" s="335"/>
      <c r="P18" s="29">
        <v>60000</v>
      </c>
      <c r="Q18" s="26" t="s">
        <v>458</v>
      </c>
      <c r="R18" s="336" t="s">
        <v>273</v>
      </c>
      <c r="S18" s="335"/>
      <c r="T18" s="29">
        <v>60000</v>
      </c>
      <c r="U18" s="26" t="s">
        <v>458</v>
      </c>
      <c r="V18" s="336" t="s">
        <v>267</v>
      </c>
      <c r="W18" s="335"/>
      <c r="X18" s="13">
        <v>229300</v>
      </c>
      <c r="Y18" s="337" t="s">
        <v>348</v>
      </c>
      <c r="Z18" s="322" t="s">
        <v>273</v>
      </c>
      <c r="AA18" s="356"/>
      <c r="AB18" s="13">
        <v>45500</v>
      </c>
      <c r="AC18" s="338" t="s">
        <v>459</v>
      </c>
      <c r="AD18" s="322" t="s">
        <v>267</v>
      </c>
      <c r="AE18" s="365"/>
      <c r="AF18" s="29">
        <v>89480</v>
      </c>
      <c r="AG18" s="339" t="s">
        <v>414</v>
      </c>
      <c r="AH18" s="322" t="s">
        <v>314</v>
      </c>
      <c r="AI18" s="356"/>
      <c r="AJ18" s="13">
        <v>400000</v>
      </c>
      <c r="AK18" s="339" t="s">
        <v>460</v>
      </c>
      <c r="AL18" s="322" t="s">
        <v>273</v>
      </c>
      <c r="AM18" s="356"/>
      <c r="AN18" s="13">
        <v>17000</v>
      </c>
      <c r="AO18" s="339" t="s">
        <v>326</v>
      </c>
      <c r="AP18" s="322" t="s">
        <v>219</v>
      </c>
      <c r="AQ18" s="356"/>
      <c r="AR18" s="13">
        <v>126000</v>
      </c>
      <c r="AS18" s="339" t="s">
        <v>461</v>
      </c>
    </row>
    <row r="19" spans="2:45" x14ac:dyDescent="0.25">
      <c r="B19" s="326">
        <v>50200</v>
      </c>
      <c r="C19" s="327"/>
      <c r="D19" s="13">
        <v>80000</v>
      </c>
      <c r="E19" s="328" t="s">
        <v>224</v>
      </c>
      <c r="F19" s="329" t="s">
        <v>314</v>
      </c>
      <c r="G19" s="327"/>
      <c r="H19" s="13">
        <v>25900</v>
      </c>
      <c r="I19" s="328" t="s">
        <v>462</v>
      </c>
      <c r="J19" s="329" t="s">
        <v>273</v>
      </c>
      <c r="K19" s="356"/>
      <c r="L19" s="332">
        <v>686070</v>
      </c>
      <c r="M19" s="333" t="s">
        <v>463</v>
      </c>
      <c r="N19" s="334" t="s">
        <v>273</v>
      </c>
      <c r="O19" s="335"/>
      <c r="P19" s="29">
        <v>60000</v>
      </c>
      <c r="Q19" s="26" t="s">
        <v>464</v>
      </c>
      <c r="R19" s="336" t="s">
        <v>273</v>
      </c>
      <c r="S19" s="335"/>
      <c r="T19" s="29">
        <v>60000</v>
      </c>
      <c r="U19" s="26" t="s">
        <v>464</v>
      </c>
      <c r="V19" s="336" t="s">
        <v>267</v>
      </c>
      <c r="W19" s="335"/>
      <c r="X19" s="13">
        <v>791969</v>
      </c>
      <c r="Y19" s="337" t="s">
        <v>465</v>
      </c>
      <c r="Z19" s="322" t="s">
        <v>273</v>
      </c>
      <c r="AA19" s="356"/>
      <c r="AB19" s="13">
        <v>70999</v>
      </c>
      <c r="AC19" s="338" t="s">
        <v>466</v>
      </c>
      <c r="AD19" s="322" t="s">
        <v>267</v>
      </c>
      <c r="AE19" s="365"/>
      <c r="AF19" s="29">
        <v>75000</v>
      </c>
      <c r="AG19" s="339" t="s">
        <v>467</v>
      </c>
      <c r="AH19" s="322" t="s">
        <v>314</v>
      </c>
      <c r="AI19" s="356"/>
      <c r="AJ19" s="13">
        <v>232730.2</v>
      </c>
      <c r="AK19" s="339" t="s">
        <v>468</v>
      </c>
      <c r="AL19" s="322" t="s">
        <v>273</v>
      </c>
      <c r="AM19" s="356"/>
      <c r="AN19" s="13">
        <v>149000</v>
      </c>
      <c r="AO19" s="339" t="s">
        <v>469</v>
      </c>
      <c r="AP19" s="322" t="s">
        <v>219</v>
      </c>
      <c r="AQ19" s="356"/>
      <c r="AR19" s="13">
        <v>795837</v>
      </c>
      <c r="AS19" s="339" t="s">
        <v>470</v>
      </c>
    </row>
    <row r="20" spans="2:45" x14ac:dyDescent="0.25">
      <c r="B20" s="326">
        <v>115000</v>
      </c>
      <c r="C20" s="327"/>
      <c r="D20" s="13">
        <v>1450600</v>
      </c>
      <c r="E20" s="328" t="s">
        <v>231</v>
      </c>
      <c r="F20" s="319" t="s">
        <v>471</v>
      </c>
      <c r="G20" s="327"/>
      <c r="H20" s="13">
        <v>375000</v>
      </c>
      <c r="I20" s="328" t="s">
        <v>231</v>
      </c>
      <c r="J20" s="319" t="s">
        <v>320</v>
      </c>
      <c r="K20" s="356"/>
      <c r="L20" s="3">
        <v>375000</v>
      </c>
      <c r="M20" s="333" t="s">
        <v>231</v>
      </c>
      <c r="N20" s="334" t="s">
        <v>320</v>
      </c>
      <c r="O20" s="356"/>
      <c r="P20" s="29">
        <v>91060.79</v>
      </c>
      <c r="Q20" s="26" t="s">
        <v>417</v>
      </c>
      <c r="R20" s="336" t="s">
        <v>273</v>
      </c>
      <c r="S20" s="356"/>
      <c r="T20" s="13">
        <v>375000</v>
      </c>
      <c r="U20" s="328" t="s">
        <v>231</v>
      </c>
      <c r="V20" s="322" t="s">
        <v>320</v>
      </c>
      <c r="W20" s="356"/>
      <c r="X20" s="13">
        <v>375000</v>
      </c>
      <c r="Y20" s="328" t="s">
        <v>231</v>
      </c>
      <c r="Z20" s="322" t="s">
        <v>320</v>
      </c>
      <c r="AA20" s="356"/>
      <c r="AB20" s="13">
        <v>379997</v>
      </c>
      <c r="AC20" s="328" t="s">
        <v>286</v>
      </c>
      <c r="AD20" s="353" t="s">
        <v>267</v>
      </c>
      <c r="AE20" s="365"/>
      <c r="AF20" s="29">
        <v>35600</v>
      </c>
      <c r="AG20" s="328" t="s">
        <v>472</v>
      </c>
      <c r="AH20" s="322" t="s">
        <v>219</v>
      </c>
      <c r="AI20" s="356"/>
      <c r="AJ20" s="13">
        <v>679200</v>
      </c>
      <c r="AK20" s="328" t="s">
        <v>473</v>
      </c>
      <c r="AL20" s="322" t="s">
        <v>273</v>
      </c>
      <c r="AM20" s="356"/>
      <c r="AN20" s="13">
        <v>104000</v>
      </c>
      <c r="AO20" s="339" t="s">
        <v>398</v>
      </c>
      <c r="AP20" s="322" t="s">
        <v>219</v>
      </c>
      <c r="AQ20" s="356"/>
      <c r="AR20" s="13">
        <v>330000</v>
      </c>
      <c r="AS20" s="339" t="s">
        <v>474</v>
      </c>
    </row>
    <row r="21" spans="2:45" x14ac:dyDescent="0.25">
      <c r="B21" s="326">
        <v>160000</v>
      </c>
      <c r="C21" s="327"/>
      <c r="D21" s="13">
        <v>1500000</v>
      </c>
      <c r="E21" s="328" t="s">
        <v>475</v>
      </c>
      <c r="F21" s="329" t="s">
        <v>314</v>
      </c>
      <c r="G21" s="327"/>
      <c r="H21" s="13">
        <v>20000</v>
      </c>
      <c r="I21" s="328" t="s">
        <v>476</v>
      </c>
      <c r="J21" s="319" t="s">
        <v>267</v>
      </c>
      <c r="K21" s="356"/>
      <c r="L21" s="332">
        <v>340000</v>
      </c>
      <c r="M21" s="333" t="s">
        <v>477</v>
      </c>
      <c r="N21" s="334" t="s">
        <v>273</v>
      </c>
      <c r="O21" s="335"/>
      <c r="P21" s="13">
        <v>375000</v>
      </c>
      <c r="Q21" s="328" t="s">
        <v>231</v>
      </c>
      <c r="R21" s="322" t="s">
        <v>320</v>
      </c>
      <c r="S21" s="335"/>
      <c r="T21" s="29">
        <v>162500</v>
      </c>
      <c r="U21" s="26" t="s">
        <v>339</v>
      </c>
      <c r="V21" s="336" t="s">
        <v>478</v>
      </c>
      <c r="W21" s="367"/>
      <c r="X21" s="29">
        <v>162500</v>
      </c>
      <c r="Y21" s="26" t="s">
        <v>339</v>
      </c>
      <c r="Z21" s="336" t="s">
        <v>479</v>
      </c>
      <c r="AA21" s="356"/>
      <c r="AB21" s="13">
        <v>82900</v>
      </c>
      <c r="AC21" s="338" t="s">
        <v>318</v>
      </c>
      <c r="AD21" s="322" t="s">
        <v>267</v>
      </c>
      <c r="AE21" s="365"/>
      <c r="AF21" s="13">
        <v>88900</v>
      </c>
      <c r="AG21" s="338" t="s">
        <v>387</v>
      </c>
      <c r="AH21" s="322" t="s">
        <v>219</v>
      </c>
      <c r="AI21" s="356"/>
      <c r="AJ21" s="13">
        <v>22500</v>
      </c>
      <c r="AK21" s="338" t="s">
        <v>430</v>
      </c>
      <c r="AL21" s="322" t="s">
        <v>273</v>
      </c>
      <c r="AM21" s="356"/>
      <c r="AN21" s="13">
        <v>30000</v>
      </c>
      <c r="AO21" s="339" t="s">
        <v>480</v>
      </c>
      <c r="AP21" s="322" t="s">
        <v>219</v>
      </c>
      <c r="AQ21" s="356"/>
      <c r="AR21" s="13">
        <v>630500</v>
      </c>
      <c r="AS21" s="338" t="s">
        <v>481</v>
      </c>
    </row>
    <row r="22" spans="2:45" x14ac:dyDescent="0.25">
      <c r="B22" s="326">
        <v>243000</v>
      </c>
      <c r="C22" s="327"/>
      <c r="D22" s="13">
        <v>30000</v>
      </c>
      <c r="E22" s="328" t="s">
        <v>397</v>
      </c>
      <c r="F22" s="329" t="s">
        <v>314</v>
      </c>
      <c r="G22" s="327"/>
      <c r="H22" s="13">
        <v>120000</v>
      </c>
      <c r="I22" s="328" t="s">
        <v>482</v>
      </c>
      <c r="J22" s="319" t="s">
        <v>267</v>
      </c>
      <c r="K22" s="356"/>
      <c r="L22" s="368">
        <v>223932.15</v>
      </c>
      <c r="M22" s="333" t="s">
        <v>483</v>
      </c>
      <c r="N22" s="334" t="s">
        <v>267</v>
      </c>
      <c r="O22" s="335"/>
      <c r="P22" s="29">
        <v>7690</v>
      </c>
      <c r="Q22" s="26" t="s">
        <v>484</v>
      </c>
      <c r="R22" s="336" t="s">
        <v>267</v>
      </c>
      <c r="S22" s="335"/>
      <c r="T22" s="29">
        <v>372000</v>
      </c>
      <c r="U22" s="26" t="s">
        <v>485</v>
      </c>
      <c r="V22" s="336" t="s">
        <v>273</v>
      </c>
      <c r="W22" s="335"/>
      <c r="X22" s="13">
        <v>1343700.87</v>
      </c>
      <c r="Y22" s="337" t="s">
        <v>342</v>
      </c>
      <c r="Z22" s="322" t="s">
        <v>322</v>
      </c>
      <c r="AA22" s="356"/>
      <c r="AB22" s="29">
        <v>100000</v>
      </c>
      <c r="AC22" s="26" t="s">
        <v>398</v>
      </c>
      <c r="AD22" s="336" t="s">
        <v>267</v>
      </c>
      <c r="AE22" s="365"/>
      <c r="AF22" s="29">
        <v>19500</v>
      </c>
      <c r="AG22" s="26" t="s">
        <v>486</v>
      </c>
      <c r="AH22" s="336" t="s">
        <v>219</v>
      </c>
      <c r="AI22" s="356"/>
      <c r="AJ22" s="13">
        <v>102535.96</v>
      </c>
      <c r="AK22" s="337" t="s">
        <v>487</v>
      </c>
      <c r="AL22" s="322" t="s">
        <v>273</v>
      </c>
      <c r="AM22" s="356"/>
      <c r="AN22" s="13">
        <v>200000</v>
      </c>
      <c r="AO22" s="339" t="s">
        <v>318</v>
      </c>
      <c r="AP22" s="322" t="s">
        <v>273</v>
      </c>
      <c r="AQ22" s="356"/>
      <c r="AR22" s="13">
        <v>120640</v>
      </c>
      <c r="AS22" s="339" t="s">
        <v>399</v>
      </c>
    </row>
    <row r="23" spans="2:45" x14ac:dyDescent="0.25">
      <c r="B23" s="326">
        <v>40000</v>
      </c>
      <c r="C23" s="327"/>
      <c r="D23" s="13">
        <v>107500</v>
      </c>
      <c r="E23" s="328" t="s">
        <v>488</v>
      </c>
      <c r="F23" s="329" t="s">
        <v>314</v>
      </c>
      <c r="G23" s="327"/>
      <c r="H23" s="13">
        <v>27006.78</v>
      </c>
      <c r="I23" s="328" t="s">
        <v>413</v>
      </c>
      <c r="J23" s="329" t="s">
        <v>273</v>
      </c>
      <c r="K23" s="356"/>
      <c r="L23" s="332">
        <v>100000</v>
      </c>
      <c r="M23" s="333" t="s">
        <v>489</v>
      </c>
      <c r="N23" s="334" t="s">
        <v>273</v>
      </c>
      <c r="O23" s="335"/>
      <c r="P23" s="29">
        <v>16500</v>
      </c>
      <c r="Q23" s="26" t="s">
        <v>366</v>
      </c>
      <c r="R23" s="336" t="s">
        <v>267</v>
      </c>
      <c r="S23" s="335"/>
      <c r="T23" s="29">
        <v>600000</v>
      </c>
      <c r="U23" s="26" t="s">
        <v>490</v>
      </c>
      <c r="V23" s="336" t="s">
        <v>267</v>
      </c>
      <c r="W23" s="335"/>
      <c r="X23" s="13">
        <v>300000</v>
      </c>
      <c r="Y23" s="337" t="s">
        <v>491</v>
      </c>
      <c r="Z23" s="322" t="s">
        <v>273</v>
      </c>
      <c r="AA23" s="356"/>
      <c r="AB23" s="29">
        <v>346350</v>
      </c>
      <c r="AC23" s="26" t="s">
        <v>398</v>
      </c>
      <c r="AD23" s="336" t="s">
        <v>267</v>
      </c>
      <c r="AE23" s="365"/>
      <c r="AF23" s="29">
        <v>85000</v>
      </c>
      <c r="AG23" s="337" t="s">
        <v>492</v>
      </c>
      <c r="AH23" s="322" t="s">
        <v>219</v>
      </c>
      <c r="AI23" s="356"/>
      <c r="AJ23" s="13">
        <v>109900</v>
      </c>
      <c r="AK23" s="339" t="s">
        <v>443</v>
      </c>
      <c r="AL23" s="322" t="s">
        <v>273</v>
      </c>
      <c r="AM23" s="356"/>
      <c r="AN23" s="13">
        <v>89700</v>
      </c>
      <c r="AO23" s="339" t="s">
        <v>493</v>
      </c>
      <c r="AP23" s="322" t="s">
        <v>273</v>
      </c>
      <c r="AQ23" s="356"/>
      <c r="AR23" s="13">
        <v>12250</v>
      </c>
      <c r="AS23" s="339" t="s">
        <v>494</v>
      </c>
    </row>
    <row r="24" spans="2:45" x14ac:dyDescent="0.25">
      <c r="B24" s="326">
        <v>92661</v>
      </c>
      <c r="C24" s="327"/>
      <c r="D24" s="13">
        <v>569163</v>
      </c>
      <c r="E24" s="328" t="s">
        <v>495</v>
      </c>
      <c r="F24" s="329"/>
      <c r="G24" s="327"/>
      <c r="H24" s="13">
        <v>70500.009999999995</v>
      </c>
      <c r="I24" s="328" t="s">
        <v>239</v>
      </c>
      <c r="J24" s="329" t="s">
        <v>273</v>
      </c>
      <c r="K24" s="356"/>
      <c r="L24" s="332">
        <v>150000</v>
      </c>
      <c r="M24" s="333" t="s">
        <v>496</v>
      </c>
      <c r="N24" s="334" t="s">
        <v>273</v>
      </c>
      <c r="O24" s="335"/>
      <c r="P24" s="29">
        <v>470000</v>
      </c>
      <c r="Q24" s="26" t="s">
        <v>491</v>
      </c>
      <c r="R24" s="336" t="s">
        <v>273</v>
      </c>
      <c r="S24" s="335"/>
      <c r="T24" s="29">
        <v>214400</v>
      </c>
      <c r="U24" s="26" t="s">
        <v>497</v>
      </c>
      <c r="V24" s="336" t="s">
        <v>273</v>
      </c>
      <c r="W24" s="335"/>
      <c r="X24" s="13">
        <v>137350</v>
      </c>
      <c r="Y24" s="337" t="s">
        <v>498</v>
      </c>
      <c r="Z24" s="322" t="s">
        <v>273</v>
      </c>
      <c r="AA24" s="356"/>
      <c r="AB24" s="13">
        <v>71000</v>
      </c>
      <c r="AC24" s="338" t="s">
        <v>498</v>
      </c>
      <c r="AD24" s="322" t="s">
        <v>273</v>
      </c>
      <c r="AE24" s="365"/>
      <c r="AF24" s="29">
        <v>62038.57</v>
      </c>
      <c r="AG24" s="339" t="s">
        <v>234</v>
      </c>
      <c r="AH24" s="322" t="s">
        <v>219</v>
      </c>
      <c r="AI24" s="356"/>
      <c r="AJ24" s="13">
        <v>60000</v>
      </c>
      <c r="AK24" s="339" t="s">
        <v>499</v>
      </c>
      <c r="AL24" s="322" t="s">
        <v>219</v>
      </c>
      <c r="AM24" s="356"/>
      <c r="AN24" s="13">
        <v>35000</v>
      </c>
      <c r="AO24" s="339" t="s">
        <v>500</v>
      </c>
      <c r="AP24" s="322" t="s">
        <v>267</v>
      </c>
      <c r="AQ24" s="356"/>
      <c r="AR24" s="13">
        <v>526500</v>
      </c>
      <c r="AS24" s="339" t="s">
        <v>501</v>
      </c>
    </row>
    <row r="25" spans="2:45" x14ac:dyDescent="0.25">
      <c r="B25" s="326">
        <v>158962.87</v>
      </c>
      <c r="C25" s="327"/>
      <c r="D25" s="13">
        <v>164250</v>
      </c>
      <c r="E25" s="328" t="s">
        <v>488</v>
      </c>
      <c r="F25" s="329" t="s">
        <v>314</v>
      </c>
      <c r="G25" s="327"/>
      <c r="H25" s="13">
        <v>300902.62</v>
      </c>
      <c r="I25" s="328" t="s">
        <v>502</v>
      </c>
      <c r="J25" s="329" t="s">
        <v>273</v>
      </c>
      <c r="K25" s="356"/>
      <c r="L25" s="332">
        <v>300000</v>
      </c>
      <c r="M25" s="333" t="s">
        <v>395</v>
      </c>
      <c r="N25" s="334" t="s">
        <v>273</v>
      </c>
      <c r="O25" s="335"/>
      <c r="P25" s="29">
        <v>2000000</v>
      </c>
      <c r="Q25" s="26" t="s">
        <v>503</v>
      </c>
      <c r="R25" s="336" t="s">
        <v>273</v>
      </c>
      <c r="S25" s="335"/>
      <c r="T25" s="29">
        <v>800000</v>
      </c>
      <c r="U25" s="26" t="s">
        <v>504</v>
      </c>
      <c r="V25" s="336" t="s">
        <v>273</v>
      </c>
      <c r="W25" s="335"/>
      <c r="X25" s="13">
        <v>24300</v>
      </c>
      <c r="Y25" s="337" t="s">
        <v>505</v>
      </c>
      <c r="Z25" s="322" t="s">
        <v>273</v>
      </c>
      <c r="AA25" s="356"/>
      <c r="AB25" s="13">
        <v>204700</v>
      </c>
      <c r="AC25" s="338" t="s">
        <v>348</v>
      </c>
      <c r="AD25" s="322" t="s">
        <v>273</v>
      </c>
      <c r="AE25" s="365"/>
      <c r="AF25" s="29">
        <v>17800</v>
      </c>
      <c r="AG25" s="339" t="s">
        <v>498</v>
      </c>
      <c r="AH25" s="322" t="s">
        <v>219</v>
      </c>
      <c r="AI25" s="356"/>
      <c r="AJ25" s="13">
        <v>77000</v>
      </c>
      <c r="AK25" s="339" t="s">
        <v>506</v>
      </c>
      <c r="AL25" s="322" t="s">
        <v>267</v>
      </c>
      <c r="AM25" s="356"/>
      <c r="AN25" s="13">
        <v>50000</v>
      </c>
      <c r="AO25" s="339" t="s">
        <v>507</v>
      </c>
      <c r="AP25" s="322" t="s">
        <v>219</v>
      </c>
      <c r="AQ25" s="356"/>
      <c r="AR25" s="13">
        <v>455760.32</v>
      </c>
      <c r="AS25" s="339" t="s">
        <v>508</v>
      </c>
    </row>
    <row r="26" spans="2:45" x14ac:dyDescent="0.25">
      <c r="B26" s="369">
        <v>100000</v>
      </c>
      <c r="C26" s="327"/>
      <c r="D26" s="13">
        <v>572084.03</v>
      </c>
      <c r="E26" s="328" t="s">
        <v>509</v>
      </c>
      <c r="F26" s="319" t="s">
        <v>267</v>
      </c>
      <c r="G26" s="327"/>
      <c r="H26" s="13">
        <v>14000</v>
      </c>
      <c r="I26" s="328" t="s">
        <v>510</v>
      </c>
      <c r="J26" s="329" t="s">
        <v>273</v>
      </c>
      <c r="K26" s="356"/>
      <c r="L26" s="332">
        <v>60000</v>
      </c>
      <c r="M26" s="333" t="s">
        <v>511</v>
      </c>
      <c r="N26" s="334" t="s">
        <v>267</v>
      </c>
      <c r="O26" s="356"/>
      <c r="P26" s="29">
        <v>14100</v>
      </c>
      <c r="Q26" s="26" t="s">
        <v>266</v>
      </c>
      <c r="R26" s="336" t="s">
        <v>273</v>
      </c>
      <c r="S26" s="356"/>
      <c r="T26" s="29">
        <v>1000000</v>
      </c>
      <c r="U26" s="337" t="s">
        <v>512</v>
      </c>
      <c r="V26" s="336" t="s">
        <v>273</v>
      </c>
      <c r="W26" s="356"/>
      <c r="X26" s="13">
        <v>126000</v>
      </c>
      <c r="Y26" s="337" t="s">
        <v>513</v>
      </c>
      <c r="Z26" s="322" t="s">
        <v>273</v>
      </c>
      <c r="AA26" s="356"/>
      <c r="AB26" s="13">
        <v>120000</v>
      </c>
      <c r="AC26" s="338" t="s">
        <v>514</v>
      </c>
      <c r="AD26" s="322" t="s">
        <v>273</v>
      </c>
      <c r="AE26" s="365"/>
      <c r="AF26" s="29">
        <v>88900</v>
      </c>
      <c r="AG26" s="339" t="s">
        <v>387</v>
      </c>
      <c r="AH26" s="322" t="s">
        <v>219</v>
      </c>
      <c r="AI26" s="356"/>
      <c r="AJ26" s="15">
        <v>16000</v>
      </c>
      <c r="AK26" s="339" t="s">
        <v>515</v>
      </c>
      <c r="AL26" s="322" t="s">
        <v>219</v>
      </c>
      <c r="AM26" s="356"/>
      <c r="AN26" s="13">
        <v>155000</v>
      </c>
      <c r="AO26" s="339" t="s">
        <v>516</v>
      </c>
      <c r="AP26" s="322" t="s">
        <v>273</v>
      </c>
      <c r="AQ26" s="356"/>
      <c r="AR26" s="13">
        <v>48000</v>
      </c>
      <c r="AS26" s="339" t="s">
        <v>517</v>
      </c>
    </row>
    <row r="27" spans="2:45" x14ac:dyDescent="0.25">
      <c r="B27" s="369">
        <v>44593.96</v>
      </c>
      <c r="C27" s="327"/>
      <c r="D27" s="13">
        <v>402150</v>
      </c>
      <c r="E27" s="328" t="s">
        <v>348</v>
      </c>
      <c r="F27" s="319" t="s">
        <v>314</v>
      </c>
      <c r="G27" s="327"/>
      <c r="H27" s="13">
        <v>450000</v>
      </c>
      <c r="I27" s="328" t="s">
        <v>395</v>
      </c>
      <c r="J27" s="319" t="s">
        <v>267</v>
      </c>
      <c r="K27" s="356"/>
      <c r="L27" s="332">
        <v>60000</v>
      </c>
      <c r="M27" s="333" t="s">
        <v>464</v>
      </c>
      <c r="N27" s="334" t="s">
        <v>267</v>
      </c>
      <c r="O27" s="356"/>
      <c r="P27" s="29">
        <v>605000</v>
      </c>
      <c r="Q27" s="337" t="s">
        <v>470</v>
      </c>
      <c r="R27" s="336" t="s">
        <v>273</v>
      </c>
      <c r="S27" s="356"/>
      <c r="T27" s="29">
        <v>500000</v>
      </c>
      <c r="U27" s="337" t="s">
        <v>518</v>
      </c>
      <c r="V27" s="336" t="s">
        <v>273</v>
      </c>
      <c r="W27" s="356"/>
      <c r="X27" s="13">
        <v>200439</v>
      </c>
      <c r="Y27" s="337" t="s">
        <v>398</v>
      </c>
      <c r="Z27" s="322" t="s">
        <v>273</v>
      </c>
      <c r="AA27" s="356"/>
      <c r="AB27" s="13">
        <v>27000</v>
      </c>
      <c r="AC27" s="338" t="s">
        <v>519</v>
      </c>
      <c r="AD27" s="322" t="s">
        <v>267</v>
      </c>
      <c r="AE27" s="365"/>
      <c r="AF27" s="29">
        <v>35600</v>
      </c>
      <c r="AG27" s="339" t="s">
        <v>472</v>
      </c>
      <c r="AH27" s="322" t="s">
        <v>219</v>
      </c>
      <c r="AI27" s="356"/>
      <c r="AJ27" s="15">
        <v>607800</v>
      </c>
      <c r="AK27" s="339" t="s">
        <v>336</v>
      </c>
      <c r="AL27" s="322" t="s">
        <v>219</v>
      </c>
      <c r="AM27" s="356"/>
      <c r="AN27" s="13">
        <v>3199</v>
      </c>
      <c r="AO27" s="339" t="s">
        <v>520</v>
      </c>
      <c r="AP27" s="322" t="s">
        <v>521</v>
      </c>
      <c r="AQ27" s="356"/>
      <c r="AR27" s="13">
        <v>75000</v>
      </c>
      <c r="AS27" s="339" t="s">
        <v>522</v>
      </c>
    </row>
    <row r="28" spans="2:45" x14ac:dyDescent="0.25">
      <c r="B28" s="369">
        <v>20000</v>
      </c>
      <c r="C28" s="327"/>
      <c r="D28" s="13">
        <v>230000</v>
      </c>
      <c r="E28" s="328" t="s">
        <v>448</v>
      </c>
      <c r="F28" s="319" t="s">
        <v>314</v>
      </c>
      <c r="G28" s="327"/>
      <c r="H28" s="13">
        <v>32000</v>
      </c>
      <c r="I28" s="328" t="s">
        <v>374</v>
      </c>
      <c r="J28" s="329" t="s">
        <v>273</v>
      </c>
      <c r="K28" s="356"/>
      <c r="L28" s="332">
        <v>59500</v>
      </c>
      <c r="M28" s="333" t="s">
        <v>523</v>
      </c>
      <c r="N28" s="334" t="s">
        <v>273</v>
      </c>
      <c r="O28" s="335"/>
      <c r="P28" s="29">
        <v>518195</v>
      </c>
      <c r="Q28" s="337" t="s">
        <v>445</v>
      </c>
      <c r="R28" s="336" t="s">
        <v>273</v>
      </c>
      <c r="S28" s="335"/>
      <c r="T28" s="29">
        <v>20000</v>
      </c>
      <c r="U28" s="26" t="s">
        <v>524</v>
      </c>
      <c r="V28" s="336" t="s">
        <v>273</v>
      </c>
      <c r="W28" s="335"/>
      <c r="X28" s="13">
        <v>20000</v>
      </c>
      <c r="Y28" s="337" t="s">
        <v>525</v>
      </c>
      <c r="Z28" s="322" t="s">
        <v>273</v>
      </c>
      <c r="AA28" s="356"/>
      <c r="AB28" s="13">
        <v>400000</v>
      </c>
      <c r="AC28" s="338" t="s">
        <v>526</v>
      </c>
      <c r="AD28" s="322" t="s">
        <v>273</v>
      </c>
      <c r="AE28" s="365"/>
      <c r="AF28" s="29">
        <v>90000</v>
      </c>
      <c r="AG28" s="339" t="s">
        <v>527</v>
      </c>
      <c r="AH28" s="322" t="s">
        <v>219</v>
      </c>
      <c r="AI28" s="356"/>
      <c r="AJ28" s="15">
        <v>477500</v>
      </c>
      <c r="AK28" s="339" t="s">
        <v>528</v>
      </c>
      <c r="AL28" s="322" t="s">
        <v>219</v>
      </c>
      <c r="AM28" s="356"/>
      <c r="AN28" s="13">
        <v>500000</v>
      </c>
      <c r="AO28" s="339" t="s">
        <v>529</v>
      </c>
      <c r="AP28" s="322" t="s">
        <v>273</v>
      </c>
      <c r="AQ28" s="356"/>
      <c r="AR28" s="13">
        <v>39900</v>
      </c>
      <c r="AS28" s="339" t="s">
        <v>382</v>
      </c>
    </row>
    <row r="29" spans="2:45" x14ac:dyDescent="0.25">
      <c r="B29" s="369">
        <v>758650</v>
      </c>
      <c r="C29" s="327"/>
      <c r="D29" s="13">
        <v>185000</v>
      </c>
      <c r="E29" s="328" t="s">
        <v>530</v>
      </c>
      <c r="F29" s="319" t="s">
        <v>314</v>
      </c>
      <c r="G29" s="327"/>
      <c r="H29" s="13">
        <v>46200</v>
      </c>
      <c r="I29" s="328" t="s">
        <v>414</v>
      </c>
      <c r="J29" s="329" t="s">
        <v>273</v>
      </c>
      <c r="K29" s="356"/>
      <c r="L29" s="332">
        <v>40399</v>
      </c>
      <c r="M29" s="333" t="s">
        <v>465</v>
      </c>
      <c r="N29" s="334" t="s">
        <v>531</v>
      </c>
      <c r="O29" s="335"/>
      <c r="P29" s="29">
        <v>580000</v>
      </c>
      <c r="Q29" s="26" t="s">
        <v>532</v>
      </c>
      <c r="R29" s="336" t="s">
        <v>267</v>
      </c>
      <c r="S29" s="335"/>
      <c r="T29" s="29">
        <v>250000</v>
      </c>
      <c r="U29" s="26" t="s">
        <v>533</v>
      </c>
      <c r="V29" s="336" t="s">
        <v>219</v>
      </c>
      <c r="W29" s="335"/>
      <c r="X29" s="13">
        <v>252000</v>
      </c>
      <c r="Y29" s="337" t="s">
        <v>366</v>
      </c>
      <c r="Z29" s="322" t="s">
        <v>267</v>
      </c>
      <c r="AA29" s="356"/>
      <c r="AB29" s="13">
        <v>2596010</v>
      </c>
      <c r="AC29" s="338" t="s">
        <v>534</v>
      </c>
      <c r="AD29" s="322" t="s">
        <v>273</v>
      </c>
      <c r="AE29" s="365"/>
      <c r="AF29" s="29">
        <v>84240</v>
      </c>
      <c r="AG29" s="339" t="s">
        <v>535</v>
      </c>
      <c r="AH29" s="322" t="s">
        <v>219</v>
      </c>
      <c r="AI29" s="356"/>
      <c r="AJ29" s="15">
        <v>500000</v>
      </c>
      <c r="AK29" s="339" t="s">
        <v>536</v>
      </c>
      <c r="AL29" s="322" t="s">
        <v>273</v>
      </c>
      <c r="AM29" s="356"/>
      <c r="AN29" s="13">
        <v>575059</v>
      </c>
      <c r="AO29" s="339" t="s">
        <v>537</v>
      </c>
      <c r="AP29" s="322" t="s">
        <v>273</v>
      </c>
      <c r="AQ29" s="356"/>
      <c r="AR29" s="13">
        <v>186000</v>
      </c>
      <c r="AS29" s="339" t="s">
        <v>538</v>
      </c>
    </row>
    <row r="30" spans="2:45" x14ac:dyDescent="0.25">
      <c r="B30" s="369">
        <v>460000</v>
      </c>
      <c r="C30" s="327"/>
      <c r="D30" s="13">
        <v>108793.24</v>
      </c>
      <c r="E30" s="328" t="s">
        <v>232</v>
      </c>
      <c r="F30" s="329" t="s">
        <v>267</v>
      </c>
      <c r="G30" s="327"/>
      <c r="H30" s="13">
        <v>30052.720000000001</v>
      </c>
      <c r="I30" s="328" t="s">
        <v>539</v>
      </c>
      <c r="J30" s="329" t="s">
        <v>267</v>
      </c>
      <c r="K30" s="356"/>
      <c r="L30" s="332">
        <v>1500000</v>
      </c>
      <c r="M30" s="333" t="s">
        <v>540</v>
      </c>
      <c r="N30" s="334" t="s">
        <v>541</v>
      </c>
      <c r="O30" s="335"/>
      <c r="P30" s="29">
        <v>500000</v>
      </c>
      <c r="Q30" s="26" t="s">
        <v>542</v>
      </c>
      <c r="R30" s="336" t="s">
        <v>267</v>
      </c>
      <c r="S30" s="335"/>
      <c r="T30" s="29">
        <v>54000</v>
      </c>
      <c r="U30" s="26" t="s">
        <v>543</v>
      </c>
      <c r="V30" s="336" t="s">
        <v>267</v>
      </c>
      <c r="W30" s="335"/>
      <c r="X30" s="13">
        <v>30000</v>
      </c>
      <c r="Y30" s="337" t="s">
        <v>544</v>
      </c>
      <c r="Z30" s="322" t="s">
        <v>389</v>
      </c>
      <c r="AA30" s="356"/>
      <c r="AB30" s="13">
        <v>525923</v>
      </c>
      <c r="AC30" s="338" t="s">
        <v>545</v>
      </c>
      <c r="AD30" s="322" t="s">
        <v>273</v>
      </c>
      <c r="AE30" s="365"/>
      <c r="AF30" s="29">
        <v>380000</v>
      </c>
      <c r="AG30" s="339" t="s">
        <v>546</v>
      </c>
      <c r="AH30" s="322" t="s">
        <v>314</v>
      </c>
      <c r="AI30" s="356"/>
      <c r="AJ30" s="15">
        <v>350000</v>
      </c>
      <c r="AK30" s="339" t="s">
        <v>547</v>
      </c>
      <c r="AL30" s="322" t="s">
        <v>273</v>
      </c>
      <c r="AM30" s="356"/>
      <c r="AN30" s="13">
        <v>454050</v>
      </c>
      <c r="AO30" s="339" t="s">
        <v>548</v>
      </c>
      <c r="AP30" s="322" t="s">
        <v>273</v>
      </c>
      <c r="AQ30" s="356"/>
      <c r="AR30" s="13">
        <v>300000</v>
      </c>
      <c r="AS30" s="339" t="s">
        <v>549</v>
      </c>
    </row>
    <row r="31" spans="2:45" x14ac:dyDescent="0.25">
      <c r="B31" s="369">
        <v>1200840.1599999999</v>
      </c>
      <c r="C31" s="327"/>
      <c r="D31" s="13">
        <v>430000</v>
      </c>
      <c r="E31" s="328" t="s">
        <v>550</v>
      </c>
      <c r="F31" s="329" t="s">
        <v>314</v>
      </c>
      <c r="G31" s="327"/>
      <c r="H31" s="13">
        <v>380266.99</v>
      </c>
      <c r="I31" s="328" t="s">
        <v>551</v>
      </c>
      <c r="J31" s="329" t="s">
        <v>267</v>
      </c>
      <c r="K31" s="356"/>
      <c r="L31" s="332">
        <v>54760</v>
      </c>
      <c r="M31" s="333" t="s">
        <v>552</v>
      </c>
      <c r="N31" s="334" t="s">
        <v>267</v>
      </c>
      <c r="O31" s="335"/>
      <c r="P31" s="29">
        <v>200000</v>
      </c>
      <c r="Q31" s="26" t="s">
        <v>553</v>
      </c>
      <c r="R31" s="336" t="s">
        <v>267</v>
      </c>
      <c r="S31" s="335"/>
      <c r="T31" s="29">
        <v>72375.94</v>
      </c>
      <c r="U31" s="26" t="s">
        <v>554</v>
      </c>
      <c r="V31" s="336" t="s">
        <v>267</v>
      </c>
      <c r="W31" s="335"/>
      <c r="X31" s="13">
        <v>324500</v>
      </c>
      <c r="Y31" s="337" t="s">
        <v>555</v>
      </c>
      <c r="Z31" s="322" t="s">
        <v>273</v>
      </c>
      <c r="AA31" s="356"/>
      <c r="AB31" s="13">
        <v>160092.63</v>
      </c>
      <c r="AC31" s="338" t="s">
        <v>556</v>
      </c>
      <c r="AD31" s="322" t="s">
        <v>273</v>
      </c>
      <c r="AE31" s="365"/>
      <c r="AF31" s="29">
        <v>470797.92</v>
      </c>
      <c r="AG31" s="339" t="s">
        <v>557</v>
      </c>
      <c r="AH31" s="322" t="s">
        <v>314</v>
      </c>
      <c r="AI31" s="356"/>
      <c r="AJ31" s="15">
        <v>658000</v>
      </c>
      <c r="AK31" s="339" t="s">
        <v>558</v>
      </c>
      <c r="AL31" s="322" t="s">
        <v>273</v>
      </c>
      <c r="AM31" s="356"/>
      <c r="AN31" s="13">
        <v>600000</v>
      </c>
      <c r="AO31" s="339" t="s">
        <v>559</v>
      </c>
      <c r="AP31" s="322" t="s">
        <v>273</v>
      </c>
      <c r="AQ31" s="356"/>
      <c r="AR31" s="13">
        <v>44011.3</v>
      </c>
      <c r="AS31" s="339" t="s">
        <v>266</v>
      </c>
    </row>
    <row r="32" spans="2:45" x14ac:dyDescent="0.25">
      <c r="B32" s="326">
        <v>471000</v>
      </c>
      <c r="C32" s="327"/>
      <c r="D32" s="13">
        <v>1173982.3999999999</v>
      </c>
      <c r="E32" s="328" t="s">
        <v>560</v>
      </c>
      <c r="F32" s="329" t="s">
        <v>314</v>
      </c>
      <c r="G32" s="327"/>
      <c r="H32" s="13">
        <v>10000</v>
      </c>
      <c r="I32" s="328" t="s">
        <v>561</v>
      </c>
      <c r="J32" s="329" t="s">
        <v>267</v>
      </c>
      <c r="K32" s="356"/>
      <c r="L32" s="332">
        <v>117039.13</v>
      </c>
      <c r="M32" s="333" t="s">
        <v>562</v>
      </c>
      <c r="N32" s="334" t="s">
        <v>273</v>
      </c>
      <c r="O32" s="335"/>
      <c r="P32" s="29">
        <v>634500</v>
      </c>
      <c r="Q32" s="26" t="s">
        <v>563</v>
      </c>
      <c r="R32" s="336" t="s">
        <v>273</v>
      </c>
      <c r="S32" s="335"/>
      <c r="T32" s="29">
        <v>3144570.92</v>
      </c>
      <c r="U32" s="26" t="s">
        <v>545</v>
      </c>
      <c r="V32" s="336" t="s">
        <v>273</v>
      </c>
      <c r="W32" s="335"/>
      <c r="X32" s="13">
        <v>9910</v>
      </c>
      <c r="Y32" s="337" t="s">
        <v>436</v>
      </c>
      <c r="Z32" s="322" t="s">
        <v>267</v>
      </c>
      <c r="AA32" s="356"/>
      <c r="AB32" s="13">
        <v>48857.65</v>
      </c>
      <c r="AC32" s="338" t="s">
        <v>266</v>
      </c>
      <c r="AD32" s="322" t="s">
        <v>267</v>
      </c>
      <c r="AE32" s="365"/>
      <c r="AF32" s="29">
        <v>20000</v>
      </c>
      <c r="AG32" s="339" t="s">
        <v>564</v>
      </c>
      <c r="AH32" s="322" t="s">
        <v>219</v>
      </c>
      <c r="AI32" s="356"/>
      <c r="AJ32" s="15">
        <v>1444000</v>
      </c>
      <c r="AK32" s="339" t="s">
        <v>565</v>
      </c>
      <c r="AL32" s="322" t="s">
        <v>273</v>
      </c>
      <c r="AM32" s="356"/>
      <c r="AN32" s="13">
        <v>416000</v>
      </c>
      <c r="AO32" s="339" t="s">
        <v>348</v>
      </c>
      <c r="AP32" s="322" t="s">
        <v>353</v>
      </c>
      <c r="AQ32" s="356"/>
      <c r="AR32" s="13">
        <v>360170</v>
      </c>
      <c r="AS32" s="339" t="s">
        <v>566</v>
      </c>
    </row>
    <row r="33" spans="2:45" x14ac:dyDescent="0.25">
      <c r="B33" s="369">
        <v>96200</v>
      </c>
      <c r="C33" s="327"/>
      <c r="D33" s="13">
        <v>50000</v>
      </c>
      <c r="E33" s="328" t="s">
        <v>567</v>
      </c>
      <c r="F33" s="329" t="s">
        <v>314</v>
      </c>
      <c r="G33" s="327"/>
      <c r="H33" s="13">
        <v>20150</v>
      </c>
      <c r="I33" s="328" t="s">
        <v>568</v>
      </c>
      <c r="J33" s="329" t="s">
        <v>267</v>
      </c>
      <c r="K33" s="356"/>
      <c r="L33" s="332">
        <v>314600</v>
      </c>
      <c r="M33" s="333" t="s">
        <v>569</v>
      </c>
      <c r="N33" s="334" t="s">
        <v>273</v>
      </c>
      <c r="O33" s="335"/>
      <c r="P33" s="29">
        <v>400000</v>
      </c>
      <c r="Q33" s="26" t="s">
        <v>570</v>
      </c>
      <c r="R33" s="336" t="s">
        <v>267</v>
      </c>
      <c r="S33" s="335"/>
      <c r="T33" s="29">
        <v>32980</v>
      </c>
      <c r="U33" s="26" t="s">
        <v>571</v>
      </c>
      <c r="V33" s="336" t="s">
        <v>267</v>
      </c>
      <c r="W33" s="335"/>
      <c r="X33" s="13">
        <v>791969</v>
      </c>
      <c r="Y33" s="337" t="s">
        <v>465</v>
      </c>
      <c r="Z33" s="322" t="s">
        <v>572</v>
      </c>
      <c r="AA33" s="356"/>
      <c r="AB33" s="13">
        <v>145000</v>
      </c>
      <c r="AC33" s="338" t="s">
        <v>270</v>
      </c>
      <c r="AD33" s="322" t="s">
        <v>267</v>
      </c>
      <c r="AE33" s="365"/>
      <c r="AF33" s="29">
        <v>216000</v>
      </c>
      <c r="AG33" s="339" t="s">
        <v>348</v>
      </c>
      <c r="AH33" s="322" t="s">
        <v>314</v>
      </c>
      <c r="AI33" s="356"/>
      <c r="AJ33" s="15">
        <v>3581430</v>
      </c>
      <c r="AK33" s="339" t="s">
        <v>573</v>
      </c>
      <c r="AL33" s="322" t="s">
        <v>273</v>
      </c>
      <c r="AM33" s="356"/>
      <c r="AN33" s="13">
        <v>636460</v>
      </c>
      <c r="AO33" s="339" t="s">
        <v>574</v>
      </c>
      <c r="AP33" s="322" t="s">
        <v>575</v>
      </c>
      <c r="AQ33" s="356"/>
      <c r="AR33" s="13">
        <v>475000</v>
      </c>
      <c r="AS33" s="339" t="s">
        <v>576</v>
      </c>
    </row>
    <row r="34" spans="2:45" x14ac:dyDescent="0.25">
      <c r="B34" s="369">
        <v>800000</v>
      </c>
      <c r="C34" s="327"/>
      <c r="D34" s="13">
        <v>50000</v>
      </c>
      <c r="E34" s="328" t="s">
        <v>577</v>
      </c>
      <c r="F34" s="329" t="s">
        <v>314</v>
      </c>
      <c r="G34" s="327"/>
      <c r="H34" s="13">
        <v>160000</v>
      </c>
      <c r="I34" s="328" t="s">
        <v>257</v>
      </c>
      <c r="J34" s="329" t="s">
        <v>273</v>
      </c>
      <c r="K34" s="356"/>
      <c r="L34" s="332">
        <v>923510</v>
      </c>
      <c r="M34" s="333" t="s">
        <v>578</v>
      </c>
      <c r="N34" s="334" t="s">
        <v>273</v>
      </c>
      <c r="O34" s="335"/>
      <c r="P34" s="29">
        <v>200000</v>
      </c>
      <c r="Q34" s="26" t="s">
        <v>579</v>
      </c>
      <c r="R34" s="336" t="s">
        <v>267</v>
      </c>
      <c r="S34" s="335"/>
      <c r="T34" s="29">
        <v>123746.25</v>
      </c>
      <c r="U34" s="26" t="s">
        <v>580</v>
      </c>
      <c r="V34" s="336" t="s">
        <v>267</v>
      </c>
      <c r="W34" s="335"/>
      <c r="X34" s="13">
        <v>500000</v>
      </c>
      <c r="Y34" s="337" t="s">
        <v>518</v>
      </c>
      <c r="Z34" s="322" t="s">
        <v>273</v>
      </c>
      <c r="AA34" s="356"/>
      <c r="AB34" s="13">
        <v>550250</v>
      </c>
      <c r="AC34" s="338" t="s">
        <v>272</v>
      </c>
      <c r="AD34" s="322" t="s">
        <v>273</v>
      </c>
      <c r="AE34" s="365"/>
      <c r="AF34" s="29">
        <v>200000</v>
      </c>
      <c r="AG34" s="339" t="s">
        <v>581</v>
      </c>
      <c r="AH34" s="322" t="s">
        <v>219</v>
      </c>
      <c r="AI34" s="356"/>
      <c r="AJ34" s="13">
        <v>240000</v>
      </c>
      <c r="AK34" s="339" t="s">
        <v>582</v>
      </c>
      <c r="AL34" s="322" t="s">
        <v>219</v>
      </c>
      <c r="AM34" s="356"/>
      <c r="AN34" s="13">
        <v>100000</v>
      </c>
      <c r="AO34" s="339" t="s">
        <v>583</v>
      </c>
      <c r="AP34" s="322" t="s">
        <v>273</v>
      </c>
      <c r="AQ34" s="356"/>
      <c r="AR34" s="13">
        <v>300000</v>
      </c>
      <c r="AS34" s="339" t="s">
        <v>584</v>
      </c>
    </row>
    <row r="35" spans="2:45" x14ac:dyDescent="0.25">
      <c r="B35" s="370">
        <v>12500</v>
      </c>
      <c r="C35" s="327"/>
      <c r="D35" s="13">
        <v>50000</v>
      </c>
      <c r="E35" s="328" t="s">
        <v>585</v>
      </c>
      <c r="F35" s="329" t="s">
        <v>314</v>
      </c>
      <c r="G35" s="327"/>
      <c r="H35" s="13">
        <v>299330</v>
      </c>
      <c r="I35" s="328" t="s">
        <v>586</v>
      </c>
      <c r="J35" s="329" t="s">
        <v>587</v>
      </c>
      <c r="K35" s="356"/>
      <c r="L35" s="332">
        <v>1495000</v>
      </c>
      <c r="M35" s="333" t="s">
        <v>470</v>
      </c>
      <c r="N35" s="334" t="s">
        <v>273</v>
      </c>
      <c r="O35" s="335"/>
      <c r="P35" s="29">
        <v>200000</v>
      </c>
      <c r="Q35" s="26" t="s">
        <v>588</v>
      </c>
      <c r="R35" s="336" t="s">
        <v>267</v>
      </c>
      <c r="S35" s="335"/>
      <c r="T35" s="29">
        <v>761191</v>
      </c>
      <c r="U35" s="26" t="s">
        <v>589</v>
      </c>
      <c r="V35" s="336" t="s">
        <v>267</v>
      </c>
      <c r="W35" s="335"/>
      <c r="X35" s="13">
        <v>400000</v>
      </c>
      <c r="Y35" s="337" t="s">
        <v>590</v>
      </c>
      <c r="Z35" s="322" t="s">
        <v>389</v>
      </c>
      <c r="AA35" s="356"/>
      <c r="AB35" s="13">
        <v>108000</v>
      </c>
      <c r="AC35" s="338" t="s">
        <v>275</v>
      </c>
      <c r="AD35" s="322" t="s">
        <v>273</v>
      </c>
      <c r="AE35" s="365"/>
      <c r="AF35" s="29">
        <v>236500</v>
      </c>
      <c r="AG35" s="339" t="s">
        <v>558</v>
      </c>
      <c r="AH35" s="322" t="s">
        <v>314</v>
      </c>
      <c r="AI35" s="356"/>
      <c r="AJ35" s="13">
        <v>780000</v>
      </c>
      <c r="AK35" s="339" t="s">
        <v>491</v>
      </c>
      <c r="AL35" s="322" t="s">
        <v>219</v>
      </c>
      <c r="AM35" s="356"/>
      <c r="AN35" s="13">
        <v>237998.6</v>
      </c>
      <c r="AO35" s="339" t="s">
        <v>591</v>
      </c>
      <c r="AP35" s="322" t="s">
        <v>273</v>
      </c>
      <c r="AQ35" s="356"/>
      <c r="AR35" s="13">
        <v>41100</v>
      </c>
      <c r="AS35" s="339" t="s">
        <v>592</v>
      </c>
    </row>
    <row r="36" spans="2:45" x14ac:dyDescent="0.25">
      <c r="B36" s="370">
        <v>50000</v>
      </c>
      <c r="C36" s="327"/>
      <c r="D36" s="13">
        <v>320000</v>
      </c>
      <c r="E36" s="328" t="s">
        <v>593</v>
      </c>
      <c r="F36" s="329" t="s">
        <v>314</v>
      </c>
      <c r="G36" s="327"/>
      <c r="H36" s="13">
        <v>130000</v>
      </c>
      <c r="I36" s="328" t="s">
        <v>594</v>
      </c>
      <c r="J36" s="329" t="s">
        <v>595</v>
      </c>
      <c r="K36" s="356"/>
      <c r="L36" s="332">
        <v>290850</v>
      </c>
      <c r="M36" s="333" t="s">
        <v>534</v>
      </c>
      <c r="N36" s="334" t="s">
        <v>273</v>
      </c>
      <c r="O36" s="335"/>
      <c r="P36" s="29">
        <v>200000</v>
      </c>
      <c r="Q36" s="26" t="s">
        <v>596</v>
      </c>
      <c r="R36" s="336" t="s">
        <v>267</v>
      </c>
      <c r="S36" s="335"/>
      <c r="T36" s="29">
        <v>720000</v>
      </c>
      <c r="U36" s="26" t="s">
        <v>597</v>
      </c>
      <c r="V36" s="336" t="s">
        <v>219</v>
      </c>
      <c r="W36" s="335"/>
      <c r="X36" s="13">
        <v>40000</v>
      </c>
      <c r="Y36" s="337" t="s">
        <v>598</v>
      </c>
      <c r="Z36" s="322" t="s">
        <v>267</v>
      </c>
      <c r="AA36" s="356"/>
      <c r="AB36" s="298">
        <v>126735</v>
      </c>
      <c r="AC36" s="338" t="s">
        <v>277</v>
      </c>
      <c r="AD36" s="322" t="s">
        <v>273</v>
      </c>
      <c r="AE36" s="365"/>
      <c r="AF36" s="29">
        <v>400000</v>
      </c>
      <c r="AG36" s="339" t="s">
        <v>558</v>
      </c>
      <c r="AH36" s="322" t="s">
        <v>219</v>
      </c>
      <c r="AI36" s="356"/>
      <c r="AJ36" s="13">
        <v>300000</v>
      </c>
      <c r="AK36" s="339" t="s">
        <v>599</v>
      </c>
      <c r="AL36" s="322" t="s">
        <v>314</v>
      </c>
      <c r="AM36" s="356"/>
      <c r="AN36" s="13">
        <v>800000</v>
      </c>
      <c r="AO36" s="339" t="s">
        <v>318</v>
      </c>
      <c r="AP36" s="322" t="s">
        <v>273</v>
      </c>
      <c r="AQ36" s="356"/>
      <c r="AR36" s="13">
        <v>100000</v>
      </c>
      <c r="AS36" s="339" t="s">
        <v>241</v>
      </c>
    </row>
    <row r="37" spans="2:45" x14ac:dyDescent="0.25">
      <c r="B37" s="370">
        <v>431002</v>
      </c>
      <c r="C37" s="327"/>
      <c r="D37" s="13">
        <v>50000</v>
      </c>
      <c r="E37" s="328" t="s">
        <v>600</v>
      </c>
      <c r="F37" s="329" t="s">
        <v>314</v>
      </c>
      <c r="G37" s="327"/>
      <c r="H37" s="13">
        <v>5988600</v>
      </c>
      <c r="I37" s="328" t="s">
        <v>601</v>
      </c>
      <c r="J37" s="329" t="s">
        <v>602</v>
      </c>
      <c r="K37" s="356"/>
      <c r="L37" s="332">
        <v>227750</v>
      </c>
      <c r="M37" s="333" t="s">
        <v>603</v>
      </c>
      <c r="N37" s="334" t="s">
        <v>273</v>
      </c>
      <c r="O37" s="335"/>
      <c r="P37" s="29">
        <v>200000</v>
      </c>
      <c r="Q37" s="26" t="s">
        <v>291</v>
      </c>
      <c r="R37" s="336" t="s">
        <v>267</v>
      </c>
      <c r="S37" s="335"/>
      <c r="T37" s="29">
        <v>710800</v>
      </c>
      <c r="U37" s="26" t="s">
        <v>604</v>
      </c>
      <c r="V37" s="336" t="s">
        <v>273</v>
      </c>
      <c r="W37" s="335"/>
      <c r="X37" s="13">
        <v>176000</v>
      </c>
      <c r="Y37" s="337" t="s">
        <v>605</v>
      </c>
      <c r="Z37" s="322" t="s">
        <v>267</v>
      </c>
      <c r="AA37" s="356"/>
      <c r="AB37" s="13">
        <v>139500</v>
      </c>
      <c r="AC37" s="338" t="s">
        <v>279</v>
      </c>
      <c r="AD37" s="322" t="s">
        <v>273</v>
      </c>
      <c r="AE37" s="365"/>
      <c r="AF37" s="29">
        <v>30000</v>
      </c>
      <c r="AG37" s="339" t="s">
        <v>278</v>
      </c>
      <c r="AH37" s="322" t="s">
        <v>267</v>
      </c>
      <c r="AI37" s="356"/>
      <c r="AJ37" s="13">
        <v>75100</v>
      </c>
      <c r="AK37" s="339" t="s">
        <v>606</v>
      </c>
      <c r="AL37" s="322" t="s">
        <v>219</v>
      </c>
      <c r="AM37" s="356"/>
      <c r="AN37" s="13">
        <v>10000</v>
      </c>
      <c r="AO37" s="339" t="s">
        <v>607</v>
      </c>
      <c r="AP37" s="322" t="s">
        <v>219</v>
      </c>
      <c r="AQ37" s="356"/>
      <c r="AR37" s="13">
        <v>40000</v>
      </c>
      <c r="AS37" s="339" t="s">
        <v>608</v>
      </c>
    </row>
    <row r="38" spans="2:45" x14ac:dyDescent="0.25">
      <c r="B38" s="371">
        <v>250000</v>
      </c>
      <c r="C38" s="327"/>
      <c r="D38" s="13">
        <v>30000</v>
      </c>
      <c r="E38" s="328" t="s">
        <v>609</v>
      </c>
      <c r="F38" s="329" t="s">
        <v>314</v>
      </c>
      <c r="G38" s="327"/>
      <c r="H38" s="13">
        <v>2351087.54</v>
      </c>
      <c r="I38" s="328" t="s">
        <v>465</v>
      </c>
      <c r="J38" s="319" t="s">
        <v>610</v>
      </c>
      <c r="K38" s="356"/>
      <c r="L38" s="332">
        <v>27588</v>
      </c>
      <c r="M38" s="333" t="s">
        <v>611</v>
      </c>
      <c r="N38" s="334" t="s">
        <v>273</v>
      </c>
      <c r="O38" s="335"/>
      <c r="P38" s="29">
        <v>157680</v>
      </c>
      <c r="Q38" s="26" t="s">
        <v>462</v>
      </c>
      <c r="R38" s="336" t="s">
        <v>444</v>
      </c>
      <c r="S38" s="335"/>
      <c r="T38" s="29">
        <v>107000</v>
      </c>
      <c r="U38" s="26" t="s">
        <v>612</v>
      </c>
      <c r="V38" s="336" t="s">
        <v>273</v>
      </c>
      <c r="W38" s="335"/>
      <c r="X38" s="13">
        <v>165900</v>
      </c>
      <c r="Y38" s="337" t="s">
        <v>613</v>
      </c>
      <c r="Z38" s="322" t="s">
        <v>273</v>
      </c>
      <c r="AA38" s="356"/>
      <c r="AB38" s="13">
        <v>850000</v>
      </c>
      <c r="AC38" s="338" t="s">
        <v>281</v>
      </c>
      <c r="AD38" s="322" t="s">
        <v>273</v>
      </c>
      <c r="AE38" s="331"/>
      <c r="AF38" s="29">
        <v>200000</v>
      </c>
      <c r="AG38" s="339" t="s">
        <v>438</v>
      </c>
      <c r="AH38" s="322" t="s">
        <v>314</v>
      </c>
      <c r="AI38" s="356"/>
      <c r="AJ38" s="13">
        <v>53400</v>
      </c>
      <c r="AK38" s="339" t="s">
        <v>614</v>
      </c>
      <c r="AL38" s="322" t="s">
        <v>219</v>
      </c>
      <c r="AM38" s="356"/>
      <c r="AN38" s="13">
        <v>350000</v>
      </c>
      <c r="AO38" s="339" t="s">
        <v>615</v>
      </c>
      <c r="AP38" s="322" t="s">
        <v>219</v>
      </c>
      <c r="AQ38" s="356"/>
      <c r="AR38" s="13">
        <v>201670.16</v>
      </c>
      <c r="AS38" s="339" t="s">
        <v>616</v>
      </c>
    </row>
    <row r="39" spans="2:45" x14ac:dyDescent="0.25">
      <c r="B39" s="372">
        <v>118000</v>
      </c>
      <c r="C39" s="327"/>
      <c r="D39" s="13">
        <v>140200</v>
      </c>
      <c r="E39" s="328" t="s">
        <v>617</v>
      </c>
      <c r="F39" s="329" t="s">
        <v>314</v>
      </c>
      <c r="G39" s="327"/>
      <c r="H39" s="13">
        <v>521000</v>
      </c>
      <c r="I39" s="328" t="s">
        <v>618</v>
      </c>
      <c r="J39" s="319" t="s">
        <v>619</v>
      </c>
      <c r="K39" s="356"/>
      <c r="L39" s="332">
        <v>256050</v>
      </c>
      <c r="M39" s="333" t="s">
        <v>620</v>
      </c>
      <c r="N39" s="334" t="s">
        <v>273</v>
      </c>
      <c r="O39" s="335"/>
      <c r="P39" s="29">
        <v>157680</v>
      </c>
      <c r="Q39" s="26" t="s">
        <v>621</v>
      </c>
      <c r="R39" s="336" t="s">
        <v>273</v>
      </c>
      <c r="S39" s="335"/>
      <c r="T39" s="29">
        <v>3336820.33</v>
      </c>
      <c r="U39" s="26" t="s">
        <v>622</v>
      </c>
      <c r="V39" s="336" t="s">
        <v>273</v>
      </c>
      <c r="W39" s="335"/>
      <c r="X39" s="13">
        <v>420000</v>
      </c>
      <c r="Y39" s="337" t="s">
        <v>623</v>
      </c>
      <c r="Z39" s="322" t="s">
        <v>273</v>
      </c>
      <c r="AA39" s="356"/>
      <c r="AB39" s="13">
        <v>22000</v>
      </c>
      <c r="AC39" s="338" t="s">
        <v>289</v>
      </c>
      <c r="AD39" s="322" t="s">
        <v>267</v>
      </c>
      <c r="AE39" s="356"/>
      <c r="AF39" s="29">
        <v>100000</v>
      </c>
      <c r="AG39" s="339" t="s">
        <v>624</v>
      </c>
      <c r="AH39" s="322" t="s">
        <v>267</v>
      </c>
      <c r="AI39" s="356"/>
      <c r="AJ39" s="13">
        <v>6921600</v>
      </c>
      <c r="AK39" s="339" t="s">
        <v>625</v>
      </c>
      <c r="AL39" s="322" t="s">
        <v>273</v>
      </c>
      <c r="AM39" s="356"/>
      <c r="AN39" s="13">
        <v>100000</v>
      </c>
      <c r="AO39" s="339" t="s">
        <v>626</v>
      </c>
      <c r="AP39" s="322" t="s">
        <v>273</v>
      </c>
      <c r="AQ39" s="356"/>
      <c r="AR39" s="13">
        <v>1000000</v>
      </c>
      <c r="AS39" s="339" t="s">
        <v>318</v>
      </c>
    </row>
    <row r="40" spans="2:45" x14ac:dyDescent="0.25">
      <c r="B40" s="372">
        <v>400000</v>
      </c>
      <c r="C40" s="327"/>
      <c r="D40" s="13">
        <v>250000</v>
      </c>
      <c r="E40" s="328" t="s">
        <v>627</v>
      </c>
      <c r="F40" s="329" t="s">
        <v>314</v>
      </c>
      <c r="G40" s="327"/>
      <c r="H40" s="13">
        <v>30000</v>
      </c>
      <c r="I40" s="328" t="s">
        <v>395</v>
      </c>
      <c r="J40" s="319" t="s">
        <v>267</v>
      </c>
      <c r="K40" s="356"/>
      <c r="L40" s="332">
        <v>32000</v>
      </c>
      <c r="M40" s="333" t="s">
        <v>374</v>
      </c>
      <c r="N40" s="334" t="s">
        <v>273</v>
      </c>
      <c r="O40" s="335"/>
      <c r="P40" s="29">
        <v>63800</v>
      </c>
      <c r="Q40" s="26" t="s">
        <v>628</v>
      </c>
      <c r="R40" s="336" t="s">
        <v>267</v>
      </c>
      <c r="S40" s="335"/>
      <c r="T40" s="29">
        <v>190000</v>
      </c>
      <c r="U40" s="26" t="s">
        <v>629</v>
      </c>
      <c r="V40" s="336" t="s">
        <v>273</v>
      </c>
      <c r="W40" s="335"/>
      <c r="X40" s="13">
        <v>21990</v>
      </c>
      <c r="Y40" s="337" t="s">
        <v>630</v>
      </c>
      <c r="Z40" s="322" t="s">
        <v>267</v>
      </c>
      <c r="AA40" s="356"/>
      <c r="AB40" s="13">
        <v>300000</v>
      </c>
      <c r="AC40" s="338" t="s">
        <v>290</v>
      </c>
      <c r="AD40" s="322" t="s">
        <v>273</v>
      </c>
      <c r="AE40" s="356"/>
      <c r="AF40" s="29">
        <v>100000</v>
      </c>
      <c r="AG40" s="339" t="s">
        <v>631</v>
      </c>
      <c r="AH40" s="322" t="s">
        <v>267</v>
      </c>
      <c r="AI40" s="356"/>
      <c r="AJ40" s="13">
        <v>700000</v>
      </c>
      <c r="AK40" s="339" t="s">
        <v>632</v>
      </c>
      <c r="AL40" s="322" t="s">
        <v>219</v>
      </c>
      <c r="AM40" s="356"/>
      <c r="AN40" s="13">
        <v>318230</v>
      </c>
      <c r="AO40" s="339" t="s">
        <v>633</v>
      </c>
      <c r="AP40" s="322" t="s">
        <v>273</v>
      </c>
      <c r="AQ40" s="356"/>
      <c r="AR40" s="13">
        <v>54000</v>
      </c>
      <c r="AS40" s="339" t="s">
        <v>634</v>
      </c>
    </row>
    <row r="41" spans="2:45" x14ac:dyDescent="0.25">
      <c r="B41" s="371">
        <v>151800</v>
      </c>
      <c r="C41" s="327"/>
      <c r="D41" s="13">
        <v>700000</v>
      </c>
      <c r="E41" s="328" t="s">
        <v>635</v>
      </c>
      <c r="F41" s="329" t="s">
        <v>314</v>
      </c>
      <c r="G41" s="327"/>
      <c r="H41" s="13">
        <v>300000</v>
      </c>
      <c r="I41" s="328" t="s">
        <v>395</v>
      </c>
      <c r="J41" s="319" t="s">
        <v>267</v>
      </c>
      <c r="K41" s="356"/>
      <c r="L41" s="332">
        <v>43600</v>
      </c>
      <c r="M41" s="333" t="s">
        <v>604</v>
      </c>
      <c r="N41" s="334" t="s">
        <v>273</v>
      </c>
      <c r="O41" s="335"/>
      <c r="P41" s="29">
        <v>420000</v>
      </c>
      <c r="Q41" s="26" t="s">
        <v>448</v>
      </c>
      <c r="R41" s="336" t="s">
        <v>267</v>
      </c>
      <c r="S41" s="335"/>
      <c r="T41" s="29">
        <v>80000</v>
      </c>
      <c r="U41" s="26" t="s">
        <v>477</v>
      </c>
      <c r="V41" s="336" t="s">
        <v>273</v>
      </c>
      <c r="W41" s="335"/>
      <c r="X41" s="13">
        <v>78016.710000000006</v>
      </c>
      <c r="Y41" s="337" t="s">
        <v>453</v>
      </c>
      <c r="Z41" s="322" t="s">
        <v>267</v>
      </c>
      <c r="AA41" s="356"/>
      <c r="AB41" s="13">
        <v>240000</v>
      </c>
      <c r="AC41" s="338" t="s">
        <v>291</v>
      </c>
      <c r="AD41" s="322" t="s">
        <v>273</v>
      </c>
      <c r="AE41" s="356"/>
      <c r="AF41" s="29">
        <v>100000</v>
      </c>
      <c r="AG41" s="339" t="s">
        <v>636</v>
      </c>
      <c r="AH41" s="322" t="s">
        <v>219</v>
      </c>
      <c r="AI41" s="356"/>
      <c r="AJ41" s="13">
        <v>99290</v>
      </c>
      <c r="AK41" s="339" t="s">
        <v>637</v>
      </c>
      <c r="AL41" s="322" t="s">
        <v>219</v>
      </c>
      <c r="AM41" s="356"/>
      <c r="AN41" s="13">
        <v>74900</v>
      </c>
      <c r="AO41" s="339" t="s">
        <v>638</v>
      </c>
      <c r="AP41" s="322" t="s">
        <v>267</v>
      </c>
      <c r="AQ41" s="356"/>
      <c r="AR41" s="13">
        <v>252000</v>
      </c>
      <c r="AS41" s="339" t="s">
        <v>639</v>
      </c>
    </row>
    <row r="42" spans="2:45" x14ac:dyDescent="0.25">
      <c r="B42" s="371">
        <v>560000</v>
      </c>
      <c r="C42" s="327"/>
      <c r="D42" s="13">
        <v>23000</v>
      </c>
      <c r="E42" s="328" t="s">
        <v>374</v>
      </c>
      <c r="F42" s="329" t="s">
        <v>314</v>
      </c>
      <c r="G42" s="327"/>
      <c r="H42" s="13">
        <v>55667.839999999997</v>
      </c>
      <c r="I42" s="328" t="s">
        <v>232</v>
      </c>
      <c r="J42" s="319" t="s">
        <v>267</v>
      </c>
      <c r="K42" s="356"/>
      <c r="L42" s="332">
        <v>200000</v>
      </c>
      <c r="M42" s="333" t="s">
        <v>395</v>
      </c>
      <c r="N42" s="334" t="s">
        <v>273</v>
      </c>
      <c r="O42" s="335"/>
      <c r="P42" s="29">
        <v>26378</v>
      </c>
      <c r="Q42" s="26" t="s">
        <v>383</v>
      </c>
      <c r="R42" s="336" t="s">
        <v>267</v>
      </c>
      <c r="S42" s="335"/>
      <c r="T42" s="29">
        <v>30000</v>
      </c>
      <c r="U42" s="26" t="s">
        <v>640</v>
      </c>
      <c r="V42" s="336" t="s">
        <v>273</v>
      </c>
      <c r="W42" s="335"/>
      <c r="X42" s="13">
        <v>141000</v>
      </c>
      <c r="Y42" s="337" t="s">
        <v>641</v>
      </c>
      <c r="Z42" s="322" t="s">
        <v>267</v>
      </c>
      <c r="AA42" s="356"/>
      <c r="AB42" s="13">
        <v>400000</v>
      </c>
      <c r="AC42" s="338" t="s">
        <v>293</v>
      </c>
      <c r="AD42" s="322" t="s">
        <v>267</v>
      </c>
      <c r="AE42" s="356"/>
      <c r="AF42" s="29">
        <v>350000</v>
      </c>
      <c r="AG42" s="339" t="s">
        <v>642</v>
      </c>
      <c r="AH42" s="322" t="s">
        <v>219</v>
      </c>
      <c r="AI42" s="356"/>
      <c r="AJ42" s="13">
        <v>200000</v>
      </c>
      <c r="AK42" s="339" t="s">
        <v>643</v>
      </c>
      <c r="AL42" s="322" t="s">
        <v>219</v>
      </c>
      <c r="AM42" s="356"/>
      <c r="AN42" s="13">
        <v>380000</v>
      </c>
      <c r="AO42" s="339" t="s">
        <v>644</v>
      </c>
      <c r="AP42" s="322" t="s">
        <v>219</v>
      </c>
      <c r="AQ42" s="356"/>
      <c r="AR42" s="13">
        <v>100000</v>
      </c>
      <c r="AS42" s="339" t="s">
        <v>645</v>
      </c>
    </row>
    <row r="43" spans="2:45" x14ac:dyDescent="0.25">
      <c r="B43" s="372">
        <v>99344.04</v>
      </c>
      <c r="C43" s="327"/>
      <c r="D43" s="13">
        <v>700000</v>
      </c>
      <c r="E43" s="328" t="s">
        <v>635</v>
      </c>
      <c r="F43" s="329" t="s">
        <v>314</v>
      </c>
      <c r="G43" s="327"/>
      <c r="H43" s="13">
        <v>558853.75</v>
      </c>
      <c r="I43" s="328" t="s">
        <v>646</v>
      </c>
      <c r="J43" s="319" t="s">
        <v>273</v>
      </c>
      <c r="K43" s="356"/>
      <c r="L43" s="332">
        <v>420399.47</v>
      </c>
      <c r="M43" s="333" t="s">
        <v>647</v>
      </c>
      <c r="N43" s="334" t="s">
        <v>219</v>
      </c>
      <c r="O43" s="335"/>
      <c r="P43" s="29">
        <v>150000</v>
      </c>
      <c r="Q43" s="26" t="s">
        <v>496</v>
      </c>
      <c r="R43" s="336" t="s">
        <v>267</v>
      </c>
      <c r="S43" s="335"/>
      <c r="T43" s="29">
        <v>5700</v>
      </c>
      <c r="U43" s="26" t="s">
        <v>648</v>
      </c>
      <c r="V43" s="336" t="s">
        <v>267</v>
      </c>
      <c r="W43" s="335"/>
      <c r="X43" s="13">
        <v>450000</v>
      </c>
      <c r="Y43" s="337" t="s">
        <v>518</v>
      </c>
      <c r="Z43" s="322" t="s">
        <v>273</v>
      </c>
      <c r="AA43" s="356"/>
      <c r="AB43" s="13">
        <v>56000</v>
      </c>
      <c r="AC43" s="338" t="s">
        <v>649</v>
      </c>
      <c r="AD43" s="322" t="s">
        <v>273</v>
      </c>
      <c r="AE43" s="356"/>
      <c r="AF43" s="29">
        <v>6129935.1299999999</v>
      </c>
      <c r="AG43" s="339" t="s">
        <v>650</v>
      </c>
      <c r="AH43" s="322" t="s">
        <v>651</v>
      </c>
      <c r="AI43" s="356"/>
      <c r="AJ43" s="13">
        <v>147555.32</v>
      </c>
      <c r="AK43" s="339" t="s">
        <v>652</v>
      </c>
      <c r="AL43" s="322" t="s">
        <v>267</v>
      </c>
      <c r="AM43" s="356"/>
      <c r="AN43" s="13">
        <v>678000</v>
      </c>
      <c r="AO43" s="339" t="s">
        <v>394</v>
      </c>
      <c r="AP43" s="322" t="s">
        <v>273</v>
      </c>
      <c r="AQ43" s="356"/>
      <c r="AR43" s="13">
        <v>100000</v>
      </c>
      <c r="AS43" s="339" t="s">
        <v>653</v>
      </c>
    </row>
    <row r="44" spans="2:45" x14ac:dyDescent="0.25">
      <c r="B44" s="371">
        <v>1400000</v>
      </c>
      <c r="C44" s="327"/>
      <c r="D44" s="13">
        <v>400000</v>
      </c>
      <c r="E44" s="328" t="s">
        <v>654</v>
      </c>
      <c r="F44" s="329" t="s">
        <v>314</v>
      </c>
      <c r="G44" s="327"/>
      <c r="H44" s="13">
        <v>18800</v>
      </c>
      <c r="I44" s="328" t="s">
        <v>655</v>
      </c>
      <c r="J44" s="319" t="s">
        <v>273</v>
      </c>
      <c r="K44" s="356"/>
      <c r="L44" s="332">
        <v>410000</v>
      </c>
      <c r="M44" s="333" t="s">
        <v>656</v>
      </c>
      <c r="N44" s="334" t="s">
        <v>273</v>
      </c>
      <c r="O44" s="335"/>
      <c r="P44" s="29">
        <v>99000.01</v>
      </c>
      <c r="Q44" s="26" t="s">
        <v>239</v>
      </c>
      <c r="R44" s="336" t="s">
        <v>273</v>
      </c>
      <c r="S44" s="335"/>
      <c r="T44" s="29">
        <v>13500</v>
      </c>
      <c r="U44" s="26" t="s">
        <v>612</v>
      </c>
      <c r="V44" s="336" t="s">
        <v>267</v>
      </c>
      <c r="W44" s="335"/>
      <c r="X44" s="13">
        <v>531454</v>
      </c>
      <c r="Y44" s="337" t="s">
        <v>657</v>
      </c>
      <c r="Z44" s="322" t="s">
        <v>273</v>
      </c>
      <c r="AA44" s="356"/>
      <c r="AB44" s="13">
        <v>56000</v>
      </c>
      <c r="AC44" s="338" t="s">
        <v>453</v>
      </c>
      <c r="AD44" s="322" t="s">
        <v>273</v>
      </c>
      <c r="AE44" s="356"/>
      <c r="AF44" s="29">
        <v>348700</v>
      </c>
      <c r="AG44" s="373" t="s">
        <v>658</v>
      </c>
      <c r="AH44" s="322" t="s">
        <v>314</v>
      </c>
      <c r="AI44" s="356"/>
      <c r="AJ44" s="15">
        <v>1181310</v>
      </c>
      <c r="AK44" s="339" t="s">
        <v>410</v>
      </c>
      <c r="AL44" s="322" t="s">
        <v>273</v>
      </c>
      <c r="AM44" s="356"/>
      <c r="AN44" s="13">
        <v>245748.77</v>
      </c>
      <c r="AO44" s="339" t="s">
        <v>659</v>
      </c>
      <c r="AP44" s="322" t="s">
        <v>219</v>
      </c>
      <c r="AQ44" s="356"/>
      <c r="AR44" s="13">
        <v>100000</v>
      </c>
      <c r="AS44" s="339" t="s">
        <v>660</v>
      </c>
    </row>
    <row r="45" spans="2:45" x14ac:dyDescent="0.25">
      <c r="B45" s="372">
        <v>33000</v>
      </c>
      <c r="C45" s="327"/>
      <c r="D45" s="13">
        <v>54000</v>
      </c>
      <c r="E45" s="328" t="s">
        <v>374</v>
      </c>
      <c r="F45" s="329" t="s">
        <v>314</v>
      </c>
      <c r="G45" s="327"/>
      <c r="H45" s="13">
        <v>1000000</v>
      </c>
      <c r="I45" s="328" t="s">
        <v>661</v>
      </c>
      <c r="J45" s="319" t="s">
        <v>327</v>
      </c>
      <c r="K45" s="356"/>
      <c r="L45" s="332">
        <v>25000</v>
      </c>
      <c r="M45" s="333" t="s">
        <v>662</v>
      </c>
      <c r="N45" s="334" t="s">
        <v>267</v>
      </c>
      <c r="O45" s="335"/>
      <c r="P45" s="29">
        <v>350000</v>
      </c>
      <c r="Q45" s="26" t="s">
        <v>623</v>
      </c>
      <c r="R45" s="336" t="s">
        <v>267</v>
      </c>
      <c r="S45" s="335"/>
      <c r="T45" s="29">
        <v>41835.99</v>
      </c>
      <c r="U45" s="26" t="s">
        <v>663</v>
      </c>
      <c r="V45" s="336" t="s">
        <v>267</v>
      </c>
      <c r="W45" s="335"/>
      <c r="X45" s="13">
        <v>748900</v>
      </c>
      <c r="Y45" s="337" t="s">
        <v>445</v>
      </c>
      <c r="Z45" s="322" t="s">
        <v>273</v>
      </c>
      <c r="AA45" s="356"/>
      <c r="AB45" s="13">
        <v>120000</v>
      </c>
      <c r="AC45" s="338" t="s">
        <v>537</v>
      </c>
      <c r="AD45" s="322" t="s">
        <v>273</v>
      </c>
      <c r="AE45" s="331"/>
      <c r="AF45" s="29">
        <v>77499.990000000005</v>
      </c>
      <c r="AG45" s="373" t="s">
        <v>664</v>
      </c>
      <c r="AH45" s="322" t="s">
        <v>267</v>
      </c>
      <c r="AI45" s="356"/>
      <c r="AJ45" s="15">
        <v>329900</v>
      </c>
      <c r="AK45" s="339" t="s">
        <v>348</v>
      </c>
      <c r="AL45" s="322" t="s">
        <v>273</v>
      </c>
      <c r="AM45" s="356"/>
      <c r="AN45" s="13">
        <v>300000</v>
      </c>
      <c r="AO45" s="339" t="s">
        <v>579</v>
      </c>
      <c r="AP45" s="322" t="s">
        <v>219</v>
      </c>
      <c r="AQ45" s="356"/>
      <c r="AR45" s="13">
        <v>150000</v>
      </c>
      <c r="AS45" s="339" t="s">
        <v>665</v>
      </c>
    </row>
    <row r="46" spans="2:45" x14ac:dyDescent="0.25">
      <c r="B46" s="372">
        <v>273000</v>
      </c>
      <c r="C46" s="327"/>
      <c r="D46" s="13">
        <v>30000</v>
      </c>
      <c r="E46" s="328" t="s">
        <v>666</v>
      </c>
      <c r="F46" s="329" t="s">
        <v>314</v>
      </c>
      <c r="G46" s="327"/>
      <c r="H46" s="13">
        <v>164000</v>
      </c>
      <c r="I46" s="328" t="s">
        <v>395</v>
      </c>
      <c r="J46" s="319" t="s">
        <v>273</v>
      </c>
      <c r="K46" s="356"/>
      <c r="L46" s="332">
        <v>22400</v>
      </c>
      <c r="M46" s="333" t="s">
        <v>667</v>
      </c>
      <c r="N46" s="334" t="s">
        <v>668</v>
      </c>
      <c r="O46" s="335"/>
      <c r="P46" s="29">
        <v>240737</v>
      </c>
      <c r="Q46" s="26" t="s">
        <v>410</v>
      </c>
      <c r="R46" s="336" t="s">
        <v>267</v>
      </c>
      <c r="S46" s="335"/>
      <c r="T46" s="29">
        <v>13500</v>
      </c>
      <c r="U46" s="26" t="s">
        <v>669</v>
      </c>
      <c r="V46" s="336" t="s">
        <v>273</v>
      </c>
      <c r="W46" s="335"/>
      <c r="X46" s="13">
        <v>100000</v>
      </c>
      <c r="Y46" s="337" t="s">
        <v>670</v>
      </c>
      <c r="Z46" s="322" t="s">
        <v>671</v>
      </c>
      <c r="AA46" s="356"/>
      <c r="AB46" s="13">
        <v>800000</v>
      </c>
      <c r="AC46" s="338" t="s">
        <v>672</v>
      </c>
      <c r="AD46" s="322" t="s">
        <v>273</v>
      </c>
      <c r="AE46" s="356"/>
      <c r="AF46" s="29">
        <v>140000</v>
      </c>
      <c r="AG46" s="339" t="s">
        <v>673</v>
      </c>
      <c r="AH46" s="322" t="s">
        <v>267</v>
      </c>
      <c r="AI46" s="356"/>
      <c r="AJ46" s="15">
        <v>500000</v>
      </c>
      <c r="AK46" s="339" t="s">
        <v>674</v>
      </c>
      <c r="AL46" s="322" t="s">
        <v>219</v>
      </c>
      <c r="AM46" s="356"/>
      <c r="AN46" s="13">
        <v>200000</v>
      </c>
      <c r="AO46" s="339" t="s">
        <v>675</v>
      </c>
      <c r="AP46" s="322" t="s">
        <v>219</v>
      </c>
      <c r="AQ46" s="356"/>
      <c r="AR46" s="13">
        <v>3428000</v>
      </c>
      <c r="AS46" s="339" t="s">
        <v>676</v>
      </c>
    </row>
    <row r="47" spans="2:45" x14ac:dyDescent="0.25">
      <c r="B47" s="371">
        <v>220000</v>
      </c>
      <c r="C47" s="327"/>
      <c r="D47" s="13">
        <v>300000</v>
      </c>
      <c r="E47" s="328" t="s">
        <v>395</v>
      </c>
      <c r="F47" s="329" t="s">
        <v>314</v>
      </c>
      <c r="G47" s="327"/>
      <c r="H47" s="13">
        <v>300000</v>
      </c>
      <c r="I47" s="328" t="s">
        <v>395</v>
      </c>
      <c r="J47" s="319" t="s">
        <v>273</v>
      </c>
      <c r="K47" s="356"/>
      <c r="L47" s="332">
        <v>116972</v>
      </c>
      <c r="M47" s="333" t="s">
        <v>375</v>
      </c>
      <c r="N47" s="334" t="s">
        <v>677</v>
      </c>
      <c r="O47" s="335"/>
      <c r="P47" s="29">
        <v>100000</v>
      </c>
      <c r="Q47" s="26" t="s">
        <v>399</v>
      </c>
      <c r="R47" s="336" t="s">
        <v>267</v>
      </c>
      <c r="S47" s="335"/>
      <c r="T47" s="29">
        <v>121414.38</v>
      </c>
      <c r="U47" s="26" t="s">
        <v>417</v>
      </c>
      <c r="V47" s="336" t="s">
        <v>273</v>
      </c>
      <c r="W47" s="335"/>
      <c r="X47" s="13">
        <v>1750000</v>
      </c>
      <c r="Y47" s="337" t="s">
        <v>678</v>
      </c>
      <c r="Z47" s="322" t="s">
        <v>219</v>
      </c>
      <c r="AA47" s="356"/>
      <c r="AB47" s="13">
        <v>500000</v>
      </c>
      <c r="AC47" s="338" t="s">
        <v>679</v>
      </c>
      <c r="AD47" s="322" t="s">
        <v>273</v>
      </c>
      <c r="AE47" s="356"/>
      <c r="AF47" s="29">
        <v>605300</v>
      </c>
      <c r="AG47" s="373" t="s">
        <v>680</v>
      </c>
      <c r="AH47" s="322" t="s">
        <v>314</v>
      </c>
      <c r="AI47" s="356"/>
      <c r="AJ47" s="15">
        <v>199500</v>
      </c>
      <c r="AK47" s="339" t="s">
        <v>681</v>
      </c>
      <c r="AL47" s="322" t="s">
        <v>273</v>
      </c>
      <c r="AM47" s="356"/>
      <c r="AN47" s="13">
        <v>200000</v>
      </c>
      <c r="AO47" s="339" t="s">
        <v>588</v>
      </c>
      <c r="AP47" s="322" t="s">
        <v>219</v>
      </c>
      <c r="AQ47" s="356"/>
      <c r="AR47" s="13">
        <v>15000</v>
      </c>
      <c r="AS47" s="339" t="s">
        <v>607</v>
      </c>
    </row>
    <row r="48" spans="2:45" x14ac:dyDescent="0.25">
      <c r="B48" s="371">
        <v>800000</v>
      </c>
      <c r="C48" s="327"/>
      <c r="D48" s="13">
        <v>52584.63</v>
      </c>
      <c r="E48" s="328" t="s">
        <v>682</v>
      </c>
      <c r="F48" s="329" t="s">
        <v>267</v>
      </c>
      <c r="G48" s="327"/>
      <c r="H48" s="13">
        <v>30000</v>
      </c>
      <c r="I48" s="328" t="s">
        <v>395</v>
      </c>
      <c r="J48" s="319" t="s">
        <v>267</v>
      </c>
      <c r="K48" s="356"/>
      <c r="L48" s="332">
        <v>100000</v>
      </c>
      <c r="M48" s="333" t="s">
        <v>395</v>
      </c>
      <c r="N48" s="334" t="s">
        <v>267</v>
      </c>
      <c r="O48" s="335"/>
      <c r="P48" s="29">
        <v>145000</v>
      </c>
      <c r="Q48" s="26" t="s">
        <v>275</v>
      </c>
      <c r="R48" s="336" t="s">
        <v>267</v>
      </c>
      <c r="S48" s="335"/>
      <c r="T48" s="29">
        <v>480000</v>
      </c>
      <c r="U48" s="26" t="s">
        <v>518</v>
      </c>
      <c r="V48" s="336" t="s">
        <v>267</v>
      </c>
      <c r="W48" s="335"/>
      <c r="X48" s="13">
        <v>610000</v>
      </c>
      <c r="Y48" s="337" t="s">
        <v>374</v>
      </c>
      <c r="Z48" s="322" t="s">
        <v>273</v>
      </c>
      <c r="AA48" s="356"/>
      <c r="AB48" s="13">
        <v>60000</v>
      </c>
      <c r="AC48" s="338" t="s">
        <v>464</v>
      </c>
      <c r="AD48" s="322" t="s">
        <v>267</v>
      </c>
      <c r="AE48" s="356"/>
      <c r="AF48" s="29">
        <v>162950</v>
      </c>
      <c r="AG48" s="373" t="s">
        <v>375</v>
      </c>
      <c r="AH48" s="322" t="s">
        <v>314</v>
      </c>
      <c r="AI48" s="356"/>
      <c r="AJ48" s="13">
        <v>328340</v>
      </c>
      <c r="AK48" s="339" t="s">
        <v>683</v>
      </c>
      <c r="AL48" s="322" t="s">
        <v>273</v>
      </c>
      <c r="AM48" s="356"/>
      <c r="AN48" s="13">
        <v>310000</v>
      </c>
      <c r="AO48" s="339" t="s">
        <v>684</v>
      </c>
      <c r="AP48" s="322" t="s">
        <v>273</v>
      </c>
      <c r="AQ48" s="356"/>
      <c r="AR48" s="13">
        <v>200000</v>
      </c>
      <c r="AS48" s="339" t="s">
        <v>685</v>
      </c>
    </row>
    <row r="49" spans="2:45" x14ac:dyDescent="0.25">
      <c r="B49" s="374">
        <v>11570</v>
      </c>
      <c r="C49" s="327"/>
      <c r="D49" s="13">
        <v>109200</v>
      </c>
      <c r="E49" s="328" t="s">
        <v>686</v>
      </c>
      <c r="F49" s="329" t="s">
        <v>314</v>
      </c>
      <c r="G49" s="327"/>
      <c r="H49" s="13">
        <v>28000</v>
      </c>
      <c r="I49" s="328" t="s">
        <v>687</v>
      </c>
      <c r="J49" s="319" t="s">
        <v>267</v>
      </c>
      <c r="K49" s="356"/>
      <c r="L49" s="332">
        <v>17000</v>
      </c>
      <c r="M49" s="333" t="s">
        <v>688</v>
      </c>
      <c r="N49" s="334" t="s">
        <v>267</v>
      </c>
      <c r="O49" s="335"/>
      <c r="P49" s="29">
        <v>17000</v>
      </c>
      <c r="Q49" s="26" t="s">
        <v>689</v>
      </c>
      <c r="R49" s="336" t="s">
        <v>267</v>
      </c>
      <c r="S49" s="335"/>
      <c r="T49" s="29">
        <v>56000</v>
      </c>
      <c r="U49" s="26" t="s">
        <v>690</v>
      </c>
      <c r="V49" s="336" t="s">
        <v>273</v>
      </c>
      <c r="W49" s="335"/>
      <c r="X49" s="13">
        <v>1993003</v>
      </c>
      <c r="Y49" s="337" t="s">
        <v>691</v>
      </c>
      <c r="Z49" s="322" t="s">
        <v>273</v>
      </c>
      <c r="AA49" s="356"/>
      <c r="AB49" s="13">
        <v>60000</v>
      </c>
      <c r="AC49" s="338" t="s">
        <v>458</v>
      </c>
      <c r="AD49" s="322" t="s">
        <v>267</v>
      </c>
      <c r="AE49" s="356"/>
      <c r="AF49" s="29">
        <v>63200</v>
      </c>
      <c r="AG49" s="373" t="s">
        <v>691</v>
      </c>
      <c r="AH49" s="322" t="s">
        <v>314</v>
      </c>
      <c r="AI49" s="356"/>
      <c r="AJ49" s="13">
        <v>2000000</v>
      </c>
      <c r="AK49" s="339" t="s">
        <v>692</v>
      </c>
      <c r="AL49" s="322" t="s">
        <v>273</v>
      </c>
      <c r="AM49" s="356"/>
      <c r="AN49" s="13">
        <v>170200</v>
      </c>
      <c r="AO49" s="339" t="s">
        <v>693</v>
      </c>
      <c r="AP49" s="322" t="s">
        <v>273</v>
      </c>
      <c r="AQ49" s="356"/>
      <c r="AR49" s="13">
        <v>170000</v>
      </c>
      <c r="AS49" s="339" t="s">
        <v>694</v>
      </c>
    </row>
    <row r="50" spans="2:45" x14ac:dyDescent="0.25">
      <c r="B50" s="326">
        <v>154850</v>
      </c>
      <c r="C50" s="327"/>
      <c r="D50" s="13">
        <v>37654.959999999999</v>
      </c>
      <c r="E50" s="328" t="s">
        <v>410</v>
      </c>
      <c r="F50" s="329" t="s">
        <v>314</v>
      </c>
      <c r="G50" s="327"/>
      <c r="H50" s="13">
        <v>148340</v>
      </c>
      <c r="I50" s="328" t="s">
        <v>534</v>
      </c>
      <c r="J50" s="319" t="s">
        <v>273</v>
      </c>
      <c r="K50" s="356"/>
      <c r="L50" s="332">
        <v>255000</v>
      </c>
      <c r="M50" s="333" t="s">
        <v>695</v>
      </c>
      <c r="N50" s="334" t="s">
        <v>273</v>
      </c>
      <c r="O50" s="335"/>
      <c r="P50" s="29">
        <v>32000</v>
      </c>
      <c r="Q50" s="26" t="s">
        <v>696</v>
      </c>
      <c r="R50" s="336" t="s">
        <v>267</v>
      </c>
      <c r="S50" s="335"/>
      <c r="T50" s="29">
        <v>1800000</v>
      </c>
      <c r="U50" s="26" t="s">
        <v>512</v>
      </c>
      <c r="V50" s="336" t="s">
        <v>267</v>
      </c>
      <c r="W50" s="335"/>
      <c r="X50" s="13">
        <v>235500</v>
      </c>
      <c r="Y50" s="337" t="s">
        <v>697</v>
      </c>
      <c r="Z50" s="322" t="s">
        <v>273</v>
      </c>
      <c r="AA50" s="356"/>
      <c r="AB50" s="13">
        <v>174000</v>
      </c>
      <c r="AC50" s="338" t="s">
        <v>698</v>
      </c>
      <c r="AD50" s="322" t="s">
        <v>267</v>
      </c>
      <c r="AE50" s="356"/>
      <c r="AF50" s="29">
        <v>3001670</v>
      </c>
      <c r="AG50" s="373" t="s">
        <v>445</v>
      </c>
      <c r="AH50" s="322" t="s">
        <v>314</v>
      </c>
      <c r="AI50" s="356"/>
      <c r="AJ50" s="13">
        <v>14800</v>
      </c>
      <c r="AK50" s="339" t="s">
        <v>654</v>
      </c>
      <c r="AL50" s="322" t="s">
        <v>273</v>
      </c>
      <c r="AM50" s="356"/>
      <c r="AN50" s="13">
        <v>105000</v>
      </c>
      <c r="AO50" s="339" t="s">
        <v>699</v>
      </c>
      <c r="AP50" s="322" t="s">
        <v>219</v>
      </c>
      <c r="AQ50" s="356"/>
      <c r="AR50" s="13">
        <v>14600</v>
      </c>
      <c r="AS50" s="339" t="s">
        <v>436</v>
      </c>
    </row>
    <row r="51" spans="2:45" x14ac:dyDescent="0.25">
      <c r="B51" s="375">
        <v>245748.77</v>
      </c>
      <c r="C51" s="327"/>
      <c r="D51" s="13">
        <v>120000</v>
      </c>
      <c r="E51" s="328" t="s">
        <v>700</v>
      </c>
      <c r="F51" s="329" t="s">
        <v>314</v>
      </c>
      <c r="G51" s="327"/>
      <c r="H51" s="13">
        <v>64300</v>
      </c>
      <c r="I51" s="328" t="s">
        <v>701</v>
      </c>
      <c r="J51" s="319" t="s">
        <v>273</v>
      </c>
      <c r="K51" s="356"/>
      <c r="L51" s="332">
        <v>330275</v>
      </c>
      <c r="M51" s="333" t="s">
        <v>534</v>
      </c>
      <c r="N51" s="334" t="s">
        <v>273</v>
      </c>
      <c r="O51" s="335"/>
      <c r="P51" s="29">
        <v>250000</v>
      </c>
      <c r="Q51" s="26" t="s">
        <v>398</v>
      </c>
      <c r="R51" s="336" t="s">
        <v>267</v>
      </c>
      <c r="S51" s="335"/>
      <c r="T51" s="29">
        <v>56299</v>
      </c>
      <c r="U51" s="26" t="s">
        <v>571</v>
      </c>
      <c r="V51" s="336" t="s">
        <v>267</v>
      </c>
      <c r="W51" s="335"/>
      <c r="X51" s="13">
        <v>22046.85</v>
      </c>
      <c r="Y51" s="337" t="s">
        <v>702</v>
      </c>
      <c r="Z51" s="322" t="s">
        <v>273</v>
      </c>
      <c r="AA51" s="356"/>
      <c r="AB51" s="13">
        <v>90279</v>
      </c>
      <c r="AC51" s="338" t="s">
        <v>703</v>
      </c>
      <c r="AD51" s="322" t="s">
        <v>267</v>
      </c>
      <c r="AE51" s="356"/>
      <c r="AF51" s="29">
        <v>650000</v>
      </c>
      <c r="AG51" s="339" t="s">
        <v>704</v>
      </c>
      <c r="AH51" s="322" t="s">
        <v>314</v>
      </c>
      <c r="AI51" s="356"/>
      <c r="AJ51" s="13">
        <v>150000</v>
      </c>
      <c r="AK51" s="339" t="s">
        <v>705</v>
      </c>
      <c r="AL51" s="322" t="s">
        <v>219</v>
      </c>
      <c r="AM51" s="356"/>
      <c r="AN51" s="13">
        <v>1050000</v>
      </c>
      <c r="AO51" s="339" t="s">
        <v>706</v>
      </c>
      <c r="AP51" s="322" t="s">
        <v>273</v>
      </c>
      <c r="AQ51" s="356"/>
      <c r="AR51" s="13">
        <v>24000</v>
      </c>
      <c r="AS51" s="339" t="s">
        <v>707</v>
      </c>
    </row>
    <row r="52" spans="2:45" x14ac:dyDescent="0.25">
      <c r="B52" s="375">
        <v>4628770</v>
      </c>
      <c r="C52" s="327"/>
      <c r="D52" s="13">
        <v>262921.08</v>
      </c>
      <c r="E52" s="328" t="s">
        <v>234</v>
      </c>
      <c r="F52" s="329" t="s">
        <v>314</v>
      </c>
      <c r="G52" s="327"/>
      <c r="H52" s="13">
        <v>470308.02</v>
      </c>
      <c r="I52" s="328" t="s">
        <v>708</v>
      </c>
      <c r="J52" s="319" t="s">
        <v>267</v>
      </c>
      <c r="K52" s="356"/>
      <c r="L52" s="332">
        <v>30000</v>
      </c>
      <c r="M52" s="333" t="s">
        <v>709</v>
      </c>
      <c r="N52" s="334" t="s">
        <v>267</v>
      </c>
      <c r="O52" s="335"/>
      <c r="P52" s="29">
        <v>20000</v>
      </c>
      <c r="Q52" s="26" t="s">
        <v>710</v>
      </c>
      <c r="R52" s="336" t="s">
        <v>267</v>
      </c>
      <c r="S52" s="335"/>
      <c r="T52" s="29">
        <v>80000</v>
      </c>
      <c r="U52" s="26" t="s">
        <v>711</v>
      </c>
      <c r="V52" s="336" t="s">
        <v>273</v>
      </c>
      <c r="W52" s="335"/>
      <c r="X52" s="13">
        <v>472583.82</v>
      </c>
      <c r="Y52" s="337" t="s">
        <v>712</v>
      </c>
      <c r="Z52" s="322" t="s">
        <v>273</v>
      </c>
      <c r="AA52" s="356"/>
      <c r="AB52" s="13">
        <v>90279</v>
      </c>
      <c r="AC52" s="338" t="s">
        <v>713</v>
      </c>
      <c r="AD52" s="322" t="s">
        <v>267</v>
      </c>
      <c r="AE52" s="356"/>
      <c r="AF52" s="29">
        <v>1482250</v>
      </c>
      <c r="AG52" s="339" t="s">
        <v>380</v>
      </c>
      <c r="AH52" s="322" t="s">
        <v>314</v>
      </c>
      <c r="AI52" s="356"/>
      <c r="AJ52" s="13">
        <v>947175</v>
      </c>
      <c r="AK52" s="339" t="s">
        <v>545</v>
      </c>
      <c r="AL52" s="322" t="s">
        <v>273</v>
      </c>
      <c r="AM52" s="356"/>
      <c r="AN52" s="13">
        <v>160967.9</v>
      </c>
      <c r="AO52" s="339" t="s">
        <v>714</v>
      </c>
      <c r="AP52" s="322" t="s">
        <v>273</v>
      </c>
      <c r="AQ52" s="356"/>
      <c r="AR52" s="13">
        <v>24000</v>
      </c>
      <c r="AS52" s="339" t="s">
        <v>715</v>
      </c>
    </row>
    <row r="53" spans="2:45" x14ac:dyDescent="0.25">
      <c r="B53" s="375">
        <v>68400</v>
      </c>
      <c r="C53" s="327"/>
      <c r="D53" s="13">
        <v>699700</v>
      </c>
      <c r="E53" s="328" t="s">
        <v>716</v>
      </c>
      <c r="F53" s="329" t="s">
        <v>314</v>
      </c>
      <c r="G53" s="327"/>
      <c r="H53" s="13">
        <v>84000</v>
      </c>
      <c r="I53" s="328" t="s">
        <v>717</v>
      </c>
      <c r="J53" s="319" t="s">
        <v>273</v>
      </c>
      <c r="K53" s="356"/>
      <c r="L53" s="332">
        <v>132910</v>
      </c>
      <c r="M53" s="333" t="s">
        <v>718</v>
      </c>
      <c r="N53" s="334" t="s">
        <v>273</v>
      </c>
      <c r="O53" s="335"/>
      <c r="P53" s="29">
        <v>40000</v>
      </c>
      <c r="Q53" s="26" t="s">
        <v>719</v>
      </c>
      <c r="R53" s="336" t="s">
        <v>267</v>
      </c>
      <c r="S53" s="335"/>
      <c r="T53" s="29">
        <v>250000</v>
      </c>
      <c r="U53" s="26" t="s">
        <v>720</v>
      </c>
      <c r="V53" s="336" t="s">
        <v>273</v>
      </c>
      <c r="W53" s="335"/>
      <c r="X53" s="13">
        <v>700000</v>
      </c>
      <c r="Y53" s="337" t="s">
        <v>540</v>
      </c>
      <c r="Z53" s="322" t="s">
        <v>721</v>
      </c>
      <c r="AA53" s="356"/>
      <c r="AB53" s="13">
        <v>53770</v>
      </c>
      <c r="AC53" s="338" t="s">
        <v>722</v>
      </c>
      <c r="AD53" s="322" t="s">
        <v>267</v>
      </c>
      <c r="AE53" s="331"/>
      <c r="AF53" s="29">
        <v>102300</v>
      </c>
      <c r="AG53" s="339" t="s">
        <v>723</v>
      </c>
      <c r="AH53" s="322" t="s">
        <v>314</v>
      </c>
      <c r="AI53" s="356"/>
      <c r="AJ53" s="13">
        <v>550000</v>
      </c>
      <c r="AK53" s="339" t="s">
        <v>490</v>
      </c>
      <c r="AL53" s="322" t="s">
        <v>273</v>
      </c>
      <c r="AM53" s="356"/>
      <c r="AN53" s="13">
        <v>920000</v>
      </c>
      <c r="AO53" s="339" t="s">
        <v>724</v>
      </c>
      <c r="AP53" s="322" t="s">
        <v>273</v>
      </c>
      <c r="AQ53" s="356"/>
      <c r="AR53" s="13">
        <v>2000000</v>
      </c>
      <c r="AS53" s="339" t="s">
        <v>725</v>
      </c>
    </row>
    <row r="54" spans="2:45" x14ac:dyDescent="0.25">
      <c r="B54" s="376">
        <v>62957.87</v>
      </c>
      <c r="C54" s="327"/>
      <c r="D54" s="13">
        <v>56131.66</v>
      </c>
      <c r="E54" s="328" t="s">
        <v>726</v>
      </c>
      <c r="F54" s="329" t="s">
        <v>727</v>
      </c>
      <c r="G54" s="327"/>
      <c r="H54" s="13">
        <v>1450000</v>
      </c>
      <c r="I54" s="328" t="s">
        <v>368</v>
      </c>
      <c r="J54" s="329" t="s">
        <v>728</v>
      </c>
      <c r="K54" s="356"/>
      <c r="L54" s="332">
        <v>20000</v>
      </c>
      <c r="M54" s="333" t="s">
        <v>729</v>
      </c>
      <c r="N54" s="334" t="s">
        <v>267</v>
      </c>
      <c r="O54" s="335"/>
      <c r="P54" s="29">
        <v>20000</v>
      </c>
      <c r="Q54" s="26" t="s">
        <v>730</v>
      </c>
      <c r="R54" s="336" t="s">
        <v>267</v>
      </c>
      <c r="S54" s="335"/>
      <c r="T54" s="29">
        <v>286779</v>
      </c>
      <c r="U54" s="26" t="s">
        <v>731</v>
      </c>
      <c r="V54" s="336" t="s">
        <v>267</v>
      </c>
      <c r="W54" s="335"/>
      <c r="X54" s="13">
        <v>500000</v>
      </c>
      <c r="Y54" s="337" t="s">
        <v>678</v>
      </c>
      <c r="Z54" s="322" t="s">
        <v>219</v>
      </c>
      <c r="AA54" s="356"/>
      <c r="AB54" s="13">
        <v>18000</v>
      </c>
      <c r="AC54" s="338" t="s">
        <v>732</v>
      </c>
      <c r="AD54" s="322" t="s">
        <v>267</v>
      </c>
      <c r="AE54" s="356"/>
      <c r="AF54" s="29">
        <v>160000</v>
      </c>
      <c r="AG54" s="339" t="s">
        <v>624</v>
      </c>
      <c r="AH54" s="322" t="s">
        <v>219</v>
      </c>
      <c r="AI54" s="356"/>
      <c r="AJ54" s="13">
        <v>725000</v>
      </c>
      <c r="AK54" s="339" t="s">
        <v>470</v>
      </c>
      <c r="AL54" s="322" t="s">
        <v>273</v>
      </c>
      <c r="AM54" s="356"/>
      <c r="AN54" s="13">
        <v>148938.60999999999</v>
      </c>
      <c r="AO54" s="339" t="s">
        <v>375</v>
      </c>
      <c r="AP54" s="322" t="s">
        <v>273</v>
      </c>
      <c r="AQ54" s="356"/>
      <c r="AR54" s="13">
        <v>50000</v>
      </c>
      <c r="AS54" s="339" t="s">
        <v>733</v>
      </c>
    </row>
    <row r="55" spans="2:45" x14ac:dyDescent="0.25">
      <c r="B55" s="376">
        <v>1365269</v>
      </c>
      <c r="C55" s="327"/>
      <c r="D55" s="13">
        <v>405000</v>
      </c>
      <c r="E55" s="328" t="s">
        <v>734</v>
      </c>
      <c r="F55" s="329" t="s">
        <v>314</v>
      </c>
      <c r="G55" s="327"/>
      <c r="H55" s="13">
        <v>25000</v>
      </c>
      <c r="I55" s="328" t="s">
        <v>735</v>
      </c>
      <c r="J55" s="319" t="s">
        <v>273</v>
      </c>
      <c r="K55" s="356"/>
      <c r="L55" s="332">
        <v>25000</v>
      </c>
      <c r="M55" s="333" t="s">
        <v>736</v>
      </c>
      <c r="N55" s="334" t="s">
        <v>273</v>
      </c>
      <c r="O55" s="335"/>
      <c r="P55" s="29">
        <v>20000</v>
      </c>
      <c r="Q55" s="26" t="s">
        <v>737</v>
      </c>
      <c r="R55" s="336" t="s">
        <v>267</v>
      </c>
      <c r="S55" s="335"/>
      <c r="T55" s="29">
        <v>69290</v>
      </c>
      <c r="U55" s="26" t="s">
        <v>738</v>
      </c>
      <c r="V55" s="336" t="s">
        <v>273</v>
      </c>
      <c r="W55" s="335"/>
      <c r="X55" s="13">
        <v>105300</v>
      </c>
      <c r="Y55" s="337" t="s">
        <v>739</v>
      </c>
      <c r="Z55" s="322" t="s">
        <v>267</v>
      </c>
      <c r="AA55" s="356"/>
      <c r="AB55" s="13">
        <v>53000</v>
      </c>
      <c r="AC55" s="338" t="s">
        <v>374</v>
      </c>
      <c r="AD55" s="322" t="s">
        <v>267</v>
      </c>
      <c r="AE55" s="356"/>
      <c r="AF55" s="29">
        <v>38680</v>
      </c>
      <c r="AG55" s="339" t="s">
        <v>740</v>
      </c>
      <c r="AH55" s="322" t="s">
        <v>219</v>
      </c>
      <c r="AI55" s="356"/>
      <c r="AJ55" s="13">
        <v>460482.4</v>
      </c>
      <c r="AK55" s="339" t="s">
        <v>741</v>
      </c>
      <c r="AL55" s="322" t="s">
        <v>273</v>
      </c>
      <c r="AM55" s="356"/>
      <c r="AN55" s="13">
        <v>960000</v>
      </c>
      <c r="AO55" s="339" t="s">
        <v>742</v>
      </c>
      <c r="AP55" s="322" t="s">
        <v>273</v>
      </c>
      <c r="AQ55" s="356"/>
      <c r="AR55" s="13">
        <v>10000</v>
      </c>
      <c r="AS55" s="339" t="s">
        <v>289</v>
      </c>
    </row>
    <row r="56" spans="2:45" x14ac:dyDescent="0.25">
      <c r="B56" s="376">
        <v>198000</v>
      </c>
      <c r="C56" s="327"/>
      <c r="D56" s="13">
        <v>227750</v>
      </c>
      <c r="E56" s="328" t="s">
        <v>743</v>
      </c>
      <c r="F56" s="329" t="s">
        <v>314</v>
      </c>
      <c r="G56" s="327"/>
      <c r="H56" s="13">
        <v>50000</v>
      </c>
      <c r="I56" s="328" t="s">
        <v>395</v>
      </c>
      <c r="J56" s="319" t="s">
        <v>273</v>
      </c>
      <c r="K56" s="356"/>
      <c r="L56" s="377">
        <v>5069200</v>
      </c>
      <c r="M56" s="333" t="s">
        <v>744</v>
      </c>
      <c r="N56" s="334" t="s">
        <v>273</v>
      </c>
      <c r="O56" s="356"/>
      <c r="P56" s="29">
        <v>20000</v>
      </c>
      <c r="Q56" s="26" t="s">
        <v>745</v>
      </c>
      <c r="R56" s="336" t="s">
        <v>267</v>
      </c>
      <c r="S56" s="356"/>
      <c r="T56" s="29">
        <v>12000</v>
      </c>
      <c r="U56" s="26" t="s">
        <v>746</v>
      </c>
      <c r="V56" s="336" t="s">
        <v>273</v>
      </c>
      <c r="W56" s="356"/>
      <c r="X56" s="13">
        <v>1000000</v>
      </c>
      <c r="Y56" s="337" t="s">
        <v>318</v>
      </c>
      <c r="Z56" s="322" t="s">
        <v>273</v>
      </c>
      <c r="AA56" s="356"/>
      <c r="AB56" s="13">
        <v>884000</v>
      </c>
      <c r="AC56" s="338" t="s">
        <v>410</v>
      </c>
      <c r="AD56" s="322" t="s">
        <v>273</v>
      </c>
      <c r="AE56" s="356"/>
      <c r="AF56" s="29">
        <v>54826.8</v>
      </c>
      <c r="AG56" s="339" t="s">
        <v>747</v>
      </c>
      <c r="AH56" s="322" t="s">
        <v>219</v>
      </c>
      <c r="AI56" s="356"/>
      <c r="AJ56" s="13">
        <v>270000</v>
      </c>
      <c r="AK56" s="339" t="s">
        <v>748</v>
      </c>
      <c r="AL56" s="322" t="s">
        <v>219</v>
      </c>
      <c r="AM56" s="356"/>
      <c r="AN56" s="13">
        <v>11728.99</v>
      </c>
      <c r="AO56" s="339" t="s">
        <v>749</v>
      </c>
      <c r="AP56" s="322" t="s">
        <v>267</v>
      </c>
      <c r="AQ56" s="356"/>
      <c r="AR56" s="13">
        <v>267142.32</v>
      </c>
      <c r="AS56" s="339" t="s">
        <v>750</v>
      </c>
    </row>
    <row r="57" spans="2:45" x14ac:dyDescent="0.25">
      <c r="B57" s="376">
        <v>493141.45</v>
      </c>
      <c r="C57" s="327"/>
      <c r="D57" s="56">
        <v>900000</v>
      </c>
      <c r="E57" s="328" t="s">
        <v>395</v>
      </c>
      <c r="F57" s="329" t="s">
        <v>314</v>
      </c>
      <c r="G57" s="327"/>
      <c r="H57" s="56">
        <v>40743</v>
      </c>
      <c r="I57" s="328" t="s">
        <v>751</v>
      </c>
      <c r="J57" s="319" t="s">
        <v>267</v>
      </c>
      <c r="K57" s="356"/>
      <c r="L57" s="378">
        <v>60000</v>
      </c>
      <c r="M57" s="333" t="s">
        <v>752</v>
      </c>
      <c r="N57" s="334" t="s">
        <v>273</v>
      </c>
      <c r="O57" s="335"/>
      <c r="P57" s="29">
        <v>62500</v>
      </c>
      <c r="Q57" s="26" t="s">
        <v>286</v>
      </c>
      <c r="R57" s="336" t="s">
        <v>267</v>
      </c>
      <c r="S57" s="335"/>
      <c r="T57" s="29">
        <v>45000</v>
      </c>
      <c r="U57" s="26" t="s">
        <v>753</v>
      </c>
      <c r="V57" s="322" t="s">
        <v>267</v>
      </c>
      <c r="W57" s="335"/>
      <c r="X57" s="13">
        <v>60000</v>
      </c>
      <c r="Y57" s="337" t="s">
        <v>458</v>
      </c>
      <c r="Z57" s="322" t="s">
        <v>267</v>
      </c>
      <c r="AA57" s="356"/>
      <c r="AB57" s="13">
        <v>563250</v>
      </c>
      <c r="AC57" s="338" t="s">
        <v>272</v>
      </c>
      <c r="AD57" s="322" t="s">
        <v>273</v>
      </c>
      <c r="AE57" s="356"/>
      <c r="AF57" s="29">
        <v>45000</v>
      </c>
      <c r="AG57" s="339" t="s">
        <v>754</v>
      </c>
      <c r="AH57" s="322" t="s">
        <v>219</v>
      </c>
      <c r="AI57" s="356"/>
      <c r="AJ57" s="13">
        <v>1000000</v>
      </c>
      <c r="AK57" s="339" t="s">
        <v>755</v>
      </c>
      <c r="AL57" s="322" t="s">
        <v>273</v>
      </c>
      <c r="AM57" s="356"/>
      <c r="AN57" s="13">
        <v>100000</v>
      </c>
      <c r="AO57" s="339" t="s">
        <v>756</v>
      </c>
      <c r="AP57" s="322" t="s">
        <v>219</v>
      </c>
      <c r="AQ57" s="356"/>
      <c r="AR57" s="13">
        <v>680000</v>
      </c>
      <c r="AS57" s="339" t="s">
        <v>518</v>
      </c>
    </row>
    <row r="58" spans="2:45" x14ac:dyDescent="0.25">
      <c r="B58" s="326">
        <v>54000</v>
      </c>
      <c r="C58" s="327"/>
      <c r="D58" s="13">
        <v>861136</v>
      </c>
      <c r="E58" s="328" t="s">
        <v>757</v>
      </c>
      <c r="F58" s="329" t="s">
        <v>267</v>
      </c>
      <c r="G58" s="327"/>
      <c r="H58" s="13">
        <v>4261835.01</v>
      </c>
      <c r="I58" s="328" t="s">
        <v>385</v>
      </c>
      <c r="J58" s="319" t="s">
        <v>273</v>
      </c>
      <c r="K58" s="356"/>
      <c r="L58" s="332">
        <v>637000</v>
      </c>
      <c r="M58" s="333" t="s">
        <v>470</v>
      </c>
      <c r="N58" s="334" t="s">
        <v>273</v>
      </c>
      <c r="O58" s="335"/>
      <c r="P58" s="29">
        <v>255000</v>
      </c>
      <c r="Q58" s="337" t="s">
        <v>758</v>
      </c>
      <c r="R58" s="322" t="s">
        <v>267</v>
      </c>
      <c r="S58" s="335"/>
      <c r="T58" s="29">
        <v>39600</v>
      </c>
      <c r="U58" s="337" t="s">
        <v>701</v>
      </c>
      <c r="V58" s="336" t="s">
        <v>219</v>
      </c>
      <c r="W58" s="335"/>
      <c r="X58" s="13">
        <v>60000</v>
      </c>
      <c r="Y58" s="337" t="s">
        <v>464</v>
      </c>
      <c r="Z58" s="322" t="s">
        <v>267</v>
      </c>
      <c r="AA58" s="356"/>
      <c r="AB58" s="13">
        <v>112899.91</v>
      </c>
      <c r="AC58" s="338" t="s">
        <v>508</v>
      </c>
      <c r="AD58" s="322" t="s">
        <v>273</v>
      </c>
      <c r="AE58" s="356"/>
      <c r="AF58" s="29">
        <v>49000</v>
      </c>
      <c r="AG58" s="339" t="s">
        <v>759</v>
      </c>
      <c r="AH58" s="322" t="s">
        <v>267</v>
      </c>
      <c r="AI58" s="356"/>
      <c r="AJ58" s="13">
        <v>1800000</v>
      </c>
      <c r="AK58" s="339" t="s">
        <v>760</v>
      </c>
      <c r="AL58" s="322" t="s">
        <v>761</v>
      </c>
      <c r="AM58" s="356"/>
      <c r="AN58" s="13">
        <v>50000</v>
      </c>
      <c r="AO58" s="339" t="s">
        <v>762</v>
      </c>
      <c r="AP58" s="322" t="s">
        <v>219</v>
      </c>
      <c r="AQ58" s="356"/>
      <c r="AR58" s="13">
        <v>133150</v>
      </c>
      <c r="AS58" s="339" t="s">
        <v>763</v>
      </c>
    </row>
    <row r="59" spans="2:45" x14ac:dyDescent="0.25">
      <c r="B59" s="326">
        <v>300000</v>
      </c>
      <c r="C59" s="327"/>
      <c r="D59" s="13">
        <v>30000</v>
      </c>
      <c r="E59" s="328" t="s">
        <v>666</v>
      </c>
      <c r="F59" s="329" t="s">
        <v>267</v>
      </c>
      <c r="G59" s="327"/>
      <c r="H59" s="13">
        <v>1671659.79</v>
      </c>
      <c r="I59" s="328" t="s">
        <v>431</v>
      </c>
      <c r="J59" s="319" t="s">
        <v>273</v>
      </c>
      <c r="K59" s="356"/>
      <c r="L59" s="332">
        <v>200000</v>
      </c>
      <c r="M59" s="333" t="s">
        <v>395</v>
      </c>
      <c r="N59" s="334" t="s">
        <v>267</v>
      </c>
      <c r="O59" s="335"/>
      <c r="P59" s="29">
        <v>50000</v>
      </c>
      <c r="Q59" s="26" t="s">
        <v>764</v>
      </c>
      <c r="R59" s="336" t="s">
        <v>267</v>
      </c>
      <c r="S59" s="335"/>
      <c r="T59" s="29">
        <v>200000</v>
      </c>
      <c r="U59" s="26" t="s">
        <v>291</v>
      </c>
      <c r="V59" s="336" t="s">
        <v>267</v>
      </c>
      <c r="W59" s="335"/>
      <c r="X59" s="13">
        <v>100000</v>
      </c>
      <c r="Y59" s="337" t="s">
        <v>765</v>
      </c>
      <c r="Z59" s="322" t="s">
        <v>766</v>
      </c>
      <c r="AA59" s="356"/>
      <c r="AB59" s="13">
        <v>1350500</v>
      </c>
      <c r="AC59" s="338" t="s">
        <v>767</v>
      </c>
      <c r="AD59" s="322" t="s">
        <v>273</v>
      </c>
      <c r="AE59" s="356"/>
      <c r="AF59" s="29">
        <v>300000</v>
      </c>
      <c r="AG59" s="339" t="s">
        <v>768</v>
      </c>
      <c r="AH59" s="322" t="s">
        <v>314</v>
      </c>
      <c r="AI59" s="356"/>
      <c r="AJ59" s="13">
        <v>15000</v>
      </c>
      <c r="AK59" s="339" t="s">
        <v>364</v>
      </c>
      <c r="AL59" s="322" t="s">
        <v>267</v>
      </c>
      <c r="AM59" s="356"/>
      <c r="AN59" s="13">
        <v>2000000</v>
      </c>
      <c r="AO59" s="339" t="s">
        <v>318</v>
      </c>
      <c r="AP59" s="322" t="s">
        <v>353</v>
      </c>
      <c r="AQ59" s="356"/>
      <c r="AR59" s="13">
        <v>918161.39</v>
      </c>
      <c r="AS59" s="339" t="s">
        <v>431</v>
      </c>
    </row>
    <row r="60" spans="2:45" x14ac:dyDescent="0.25">
      <c r="B60" s="326">
        <v>38691.760000000002</v>
      </c>
      <c r="C60" s="327"/>
      <c r="D60" s="13">
        <v>195000</v>
      </c>
      <c r="E60" s="328" t="s">
        <v>769</v>
      </c>
      <c r="F60" s="329" t="s">
        <v>273</v>
      </c>
      <c r="G60" s="327"/>
      <c r="H60" s="13">
        <v>13700</v>
      </c>
      <c r="I60" s="328" t="s">
        <v>436</v>
      </c>
      <c r="J60" s="319" t="s">
        <v>273</v>
      </c>
      <c r="K60" s="356"/>
      <c r="L60" s="332">
        <v>98000</v>
      </c>
      <c r="M60" s="333" t="s">
        <v>770</v>
      </c>
      <c r="N60" s="334" t="s">
        <v>267</v>
      </c>
      <c r="O60" s="335"/>
      <c r="P60" s="29">
        <v>79000</v>
      </c>
      <c r="Q60" s="26" t="s">
        <v>771</v>
      </c>
      <c r="R60" s="336" t="s">
        <v>273</v>
      </c>
      <c r="S60" s="335"/>
      <c r="T60" s="29">
        <v>41480</v>
      </c>
      <c r="U60" s="26" t="s">
        <v>414</v>
      </c>
      <c r="V60" s="336" t="s">
        <v>267</v>
      </c>
      <c r="W60" s="335"/>
      <c r="X60" s="13">
        <v>2552230.08</v>
      </c>
      <c r="Y60" s="337" t="s">
        <v>413</v>
      </c>
      <c r="Z60" s="322" t="s">
        <v>273</v>
      </c>
      <c r="AA60" s="356"/>
      <c r="AB60" s="13">
        <v>50000</v>
      </c>
      <c r="AC60" s="338" t="s">
        <v>772</v>
      </c>
      <c r="AD60" s="322" t="s">
        <v>219</v>
      </c>
      <c r="AE60" s="356"/>
      <c r="AF60" s="29">
        <v>450000</v>
      </c>
      <c r="AG60" s="339" t="s">
        <v>773</v>
      </c>
      <c r="AH60" s="322" t="s">
        <v>314</v>
      </c>
      <c r="AI60" s="356"/>
      <c r="AJ60" s="13">
        <v>350000</v>
      </c>
      <c r="AK60" s="339" t="s">
        <v>774</v>
      </c>
      <c r="AL60" s="322" t="s">
        <v>219</v>
      </c>
      <c r="AM60" s="356"/>
      <c r="AN60" s="13">
        <v>100000</v>
      </c>
      <c r="AO60" s="339" t="s">
        <v>775</v>
      </c>
      <c r="AP60" s="322" t="s">
        <v>267</v>
      </c>
      <c r="AQ60" s="356"/>
      <c r="AR60" s="13">
        <v>43000</v>
      </c>
      <c r="AS60" s="339" t="s">
        <v>776</v>
      </c>
    </row>
    <row r="61" spans="2:45" x14ac:dyDescent="0.25">
      <c r="B61" s="326">
        <v>182200</v>
      </c>
      <c r="C61" s="327"/>
      <c r="D61" s="13">
        <v>49500</v>
      </c>
      <c r="E61" s="328" t="s">
        <v>777</v>
      </c>
      <c r="F61" s="329" t="s">
        <v>273</v>
      </c>
      <c r="G61" s="327"/>
      <c r="H61" s="13">
        <v>605254</v>
      </c>
      <c r="I61" s="328" t="s">
        <v>778</v>
      </c>
      <c r="J61" s="319" t="s">
        <v>273</v>
      </c>
      <c r="K61" s="356"/>
      <c r="L61" s="332">
        <v>69690</v>
      </c>
      <c r="M61" s="333" t="s">
        <v>779</v>
      </c>
      <c r="N61" s="334" t="s">
        <v>273</v>
      </c>
      <c r="O61" s="335"/>
      <c r="P61" s="29">
        <v>60000</v>
      </c>
      <c r="Q61" s="26" t="s">
        <v>780</v>
      </c>
      <c r="R61" s="336" t="s">
        <v>267</v>
      </c>
      <c r="S61" s="335"/>
      <c r="T61" s="29">
        <v>28000</v>
      </c>
      <c r="U61" s="26" t="s">
        <v>781</v>
      </c>
      <c r="V61" s="336" t="s">
        <v>267</v>
      </c>
      <c r="W61" s="335"/>
      <c r="X61" s="13">
        <v>300000</v>
      </c>
      <c r="Y61" s="337" t="s">
        <v>623</v>
      </c>
      <c r="Z61" s="322" t="s">
        <v>273</v>
      </c>
      <c r="AA61" s="356"/>
      <c r="AB61" s="13">
        <v>40000</v>
      </c>
      <c r="AC61" s="338" t="s">
        <v>782</v>
      </c>
      <c r="AD61" s="322" t="s">
        <v>219</v>
      </c>
      <c r="AE61" s="331"/>
      <c r="AF61" s="29">
        <v>346000</v>
      </c>
      <c r="AG61" s="339" t="s">
        <v>336</v>
      </c>
      <c r="AH61" s="322" t="s">
        <v>314</v>
      </c>
      <c r="AI61" s="356"/>
      <c r="AJ61" s="13">
        <v>22000</v>
      </c>
      <c r="AK61" s="339" t="s">
        <v>783</v>
      </c>
      <c r="AL61" s="322" t="s">
        <v>267</v>
      </c>
      <c r="AM61" s="356"/>
      <c r="AN61" s="13">
        <v>76500</v>
      </c>
      <c r="AO61" s="339" t="s">
        <v>784</v>
      </c>
      <c r="AP61" s="322" t="s">
        <v>219</v>
      </c>
      <c r="AQ61" s="356"/>
      <c r="AR61" s="13">
        <v>36000</v>
      </c>
      <c r="AS61" s="339" t="s">
        <v>785</v>
      </c>
    </row>
    <row r="62" spans="2:45" x14ac:dyDescent="0.25">
      <c r="B62" s="326">
        <v>40600</v>
      </c>
      <c r="C62" s="327"/>
      <c r="D62" s="13">
        <v>129000</v>
      </c>
      <c r="E62" s="328" t="s">
        <v>786</v>
      </c>
      <c r="F62" s="329" t="s">
        <v>273</v>
      </c>
      <c r="G62" s="327"/>
      <c r="H62" s="13">
        <v>90000</v>
      </c>
      <c r="I62" s="328" t="s">
        <v>623</v>
      </c>
      <c r="J62" s="319" t="s">
        <v>273</v>
      </c>
      <c r="K62" s="356"/>
      <c r="L62" s="332">
        <v>30492</v>
      </c>
      <c r="M62" s="333" t="s">
        <v>779</v>
      </c>
      <c r="N62" s="334" t="s">
        <v>267</v>
      </c>
      <c r="O62" s="335"/>
      <c r="P62" s="29">
        <v>138936</v>
      </c>
      <c r="Q62" s="26" t="s">
        <v>787</v>
      </c>
      <c r="R62" s="336" t="s">
        <v>273</v>
      </c>
      <c r="S62" s="335"/>
      <c r="T62" s="29">
        <v>128650.01</v>
      </c>
      <c r="U62" s="26" t="s">
        <v>436</v>
      </c>
      <c r="V62" s="336" t="s">
        <v>219</v>
      </c>
      <c r="W62" s="335"/>
      <c r="X62" s="13">
        <v>1000000</v>
      </c>
      <c r="Y62" s="337" t="s">
        <v>788</v>
      </c>
      <c r="Z62" s="322" t="s">
        <v>273</v>
      </c>
      <c r="AA62" s="356"/>
      <c r="AB62" s="13">
        <v>50000</v>
      </c>
      <c r="AC62" s="338" t="s">
        <v>719</v>
      </c>
      <c r="AD62" s="322" t="s">
        <v>219</v>
      </c>
      <c r="AE62" s="356"/>
      <c r="AF62" s="29">
        <v>37500</v>
      </c>
      <c r="AG62" s="339" t="s">
        <v>789</v>
      </c>
      <c r="AH62" s="322" t="s">
        <v>267</v>
      </c>
      <c r="AI62" s="356"/>
      <c r="AJ62" s="13">
        <v>294000</v>
      </c>
      <c r="AK62" s="339" t="s">
        <v>680</v>
      </c>
      <c r="AL62" s="322" t="s">
        <v>219</v>
      </c>
      <c r="AM62" s="356"/>
      <c r="AN62" s="13">
        <v>150000</v>
      </c>
      <c r="AO62" s="339" t="s">
        <v>790</v>
      </c>
      <c r="AP62" s="322" t="s">
        <v>273</v>
      </c>
      <c r="AQ62" s="356"/>
      <c r="AR62" s="13">
        <v>36000</v>
      </c>
      <c r="AS62" s="339" t="s">
        <v>791</v>
      </c>
    </row>
    <row r="63" spans="2:45" x14ac:dyDescent="0.25">
      <c r="B63" s="326">
        <v>1239340</v>
      </c>
      <c r="C63" s="327"/>
      <c r="D63" s="13">
        <v>40000</v>
      </c>
      <c r="E63" s="328" t="s">
        <v>792</v>
      </c>
      <c r="F63" s="329" t="s">
        <v>273</v>
      </c>
      <c r="G63" s="327"/>
      <c r="H63" s="13">
        <v>75000</v>
      </c>
      <c r="I63" s="328" t="s">
        <v>752</v>
      </c>
      <c r="J63" s="319" t="s">
        <v>273</v>
      </c>
      <c r="K63" s="356"/>
      <c r="L63" s="332">
        <v>10000</v>
      </c>
      <c r="M63" s="333" t="s">
        <v>510</v>
      </c>
      <c r="N63" s="334" t="s">
        <v>267</v>
      </c>
      <c r="O63" s="335"/>
      <c r="P63" s="29">
        <v>193700</v>
      </c>
      <c r="Q63" s="26" t="s">
        <v>793</v>
      </c>
      <c r="R63" s="336" t="s">
        <v>273</v>
      </c>
      <c r="S63" s="335"/>
      <c r="T63" s="29">
        <v>186000</v>
      </c>
      <c r="U63" s="26" t="s">
        <v>794</v>
      </c>
      <c r="V63" s="336" t="s">
        <v>219</v>
      </c>
      <c r="W63" s="335"/>
      <c r="X63" s="13">
        <v>346620</v>
      </c>
      <c r="Y63" s="337" t="s">
        <v>795</v>
      </c>
      <c r="Z63" s="322" t="s">
        <v>273</v>
      </c>
      <c r="AA63" s="356"/>
      <c r="AB63" s="13">
        <v>240000</v>
      </c>
      <c r="AC63" s="338" t="s">
        <v>796</v>
      </c>
      <c r="AD63" s="322" t="s">
        <v>273</v>
      </c>
      <c r="AE63" s="356"/>
      <c r="AF63" s="29">
        <v>68830</v>
      </c>
      <c r="AG63" s="339" t="s">
        <v>399</v>
      </c>
      <c r="AH63" s="322" t="s">
        <v>219</v>
      </c>
      <c r="AI63" s="356"/>
      <c r="AJ63" s="13">
        <v>69900</v>
      </c>
      <c r="AK63" s="339" t="s">
        <v>797</v>
      </c>
      <c r="AL63" s="322" t="s">
        <v>798</v>
      </c>
      <c r="AM63" s="356"/>
      <c r="AN63" s="13">
        <v>60000</v>
      </c>
      <c r="AO63" s="339" t="s">
        <v>799</v>
      </c>
      <c r="AP63" s="322" t="s">
        <v>273</v>
      </c>
      <c r="AQ63" s="356"/>
      <c r="AR63" s="13">
        <v>72000</v>
      </c>
      <c r="AS63" s="339" t="s">
        <v>800</v>
      </c>
    </row>
    <row r="64" spans="2:45" x14ac:dyDescent="0.25">
      <c r="B64" s="326">
        <v>84200</v>
      </c>
      <c r="C64" s="327"/>
      <c r="D64" s="13">
        <v>101811.09</v>
      </c>
      <c r="E64" s="328" t="s">
        <v>801</v>
      </c>
      <c r="F64" s="329" t="s">
        <v>273</v>
      </c>
      <c r="G64" s="327"/>
      <c r="H64" s="13">
        <v>50000</v>
      </c>
      <c r="I64" s="328" t="s">
        <v>395</v>
      </c>
      <c r="J64" s="319" t="s">
        <v>273</v>
      </c>
      <c r="K64" s="356"/>
      <c r="L64" s="332">
        <v>25000</v>
      </c>
      <c r="M64" s="333" t="s">
        <v>802</v>
      </c>
      <c r="N64" s="334" t="s">
        <v>267</v>
      </c>
      <c r="O64" s="335"/>
      <c r="P64" s="29">
        <v>97500</v>
      </c>
      <c r="Q64" s="26" t="s">
        <v>803</v>
      </c>
      <c r="R64" s="336" t="s">
        <v>267</v>
      </c>
      <c r="S64" s="335"/>
      <c r="T64" s="29">
        <v>245000</v>
      </c>
      <c r="U64" s="26" t="s">
        <v>291</v>
      </c>
      <c r="V64" s="336" t="s">
        <v>219</v>
      </c>
      <c r="W64" s="335"/>
      <c r="X64" s="13">
        <v>195000</v>
      </c>
      <c r="Y64" s="337" t="s">
        <v>804</v>
      </c>
      <c r="Z64" s="322" t="s">
        <v>267</v>
      </c>
      <c r="AA64" s="356"/>
      <c r="AB64" s="13">
        <v>1500000</v>
      </c>
      <c r="AC64" s="338" t="s">
        <v>623</v>
      </c>
      <c r="AD64" s="322" t="s">
        <v>805</v>
      </c>
      <c r="AE64" s="356"/>
      <c r="AF64" s="29">
        <v>158984.53</v>
      </c>
      <c r="AG64" s="339" t="s">
        <v>806</v>
      </c>
      <c r="AH64" s="322" t="s">
        <v>807</v>
      </c>
      <c r="AI64" s="356"/>
      <c r="AJ64" s="13">
        <v>1155000</v>
      </c>
      <c r="AK64" s="339" t="s">
        <v>808</v>
      </c>
      <c r="AL64" s="322" t="s">
        <v>219</v>
      </c>
      <c r="AM64" s="356"/>
      <c r="AN64" s="13">
        <v>200000</v>
      </c>
      <c r="AO64" s="339" t="s">
        <v>809</v>
      </c>
      <c r="AP64" s="322" t="s">
        <v>273</v>
      </c>
      <c r="AQ64" s="356"/>
      <c r="AR64" s="13">
        <v>60000</v>
      </c>
      <c r="AS64" s="339" t="s">
        <v>810</v>
      </c>
    </row>
    <row r="65" spans="2:45" x14ac:dyDescent="0.25">
      <c r="B65" s="326">
        <v>587999</v>
      </c>
      <c r="C65" s="327"/>
      <c r="D65" s="13">
        <v>66300</v>
      </c>
      <c r="E65" s="328" t="s">
        <v>811</v>
      </c>
      <c r="F65" s="329" t="s">
        <v>273</v>
      </c>
      <c r="G65" s="327"/>
      <c r="H65" s="13">
        <v>40000</v>
      </c>
      <c r="I65" s="328" t="s">
        <v>812</v>
      </c>
      <c r="J65" s="319" t="s">
        <v>273</v>
      </c>
      <c r="K65" s="356"/>
      <c r="L65" s="332">
        <v>25000</v>
      </c>
      <c r="M65" s="333" t="s">
        <v>813</v>
      </c>
      <c r="N65" s="334" t="s">
        <v>267</v>
      </c>
      <c r="O65" s="335"/>
      <c r="P65" s="29">
        <v>20000</v>
      </c>
      <c r="Q65" s="26" t="s">
        <v>289</v>
      </c>
      <c r="R65" s="336" t="s">
        <v>267</v>
      </c>
      <c r="S65" s="335"/>
      <c r="T65" s="29">
        <v>200000</v>
      </c>
      <c r="U65" s="26" t="s">
        <v>814</v>
      </c>
      <c r="V65" s="336" t="s">
        <v>219</v>
      </c>
      <c r="W65" s="335"/>
      <c r="X65" s="13">
        <v>13000</v>
      </c>
      <c r="Y65" s="337" t="s">
        <v>289</v>
      </c>
      <c r="Z65" s="322" t="s">
        <v>267</v>
      </c>
      <c r="AA65" s="356"/>
      <c r="AB65" s="16">
        <v>12000</v>
      </c>
      <c r="AC65" s="338" t="s">
        <v>525</v>
      </c>
      <c r="AD65" s="322" t="s">
        <v>273</v>
      </c>
      <c r="AE65" s="356"/>
      <c r="AF65" s="29">
        <v>10600</v>
      </c>
      <c r="AG65" s="339" t="s">
        <v>815</v>
      </c>
      <c r="AH65" s="322" t="s">
        <v>267</v>
      </c>
      <c r="AI65" s="356"/>
      <c r="AJ65" s="13">
        <v>22000</v>
      </c>
      <c r="AK65" s="339" t="s">
        <v>816</v>
      </c>
      <c r="AL65" s="322" t="s">
        <v>267</v>
      </c>
      <c r="AM65" s="356"/>
      <c r="AN65" s="13">
        <v>1492850</v>
      </c>
      <c r="AO65" s="339" t="s">
        <v>534</v>
      </c>
      <c r="AP65" s="322" t="s">
        <v>273</v>
      </c>
      <c r="AQ65" s="356"/>
      <c r="AR65" s="13">
        <v>25000</v>
      </c>
      <c r="AS65" s="339" t="s">
        <v>817</v>
      </c>
    </row>
    <row r="66" spans="2:45" x14ac:dyDescent="0.25">
      <c r="B66" s="326">
        <v>25000</v>
      </c>
      <c r="C66" s="327"/>
      <c r="D66" s="13">
        <v>15000</v>
      </c>
      <c r="E66" s="328" t="s">
        <v>818</v>
      </c>
      <c r="F66" s="329" t="s">
        <v>273</v>
      </c>
      <c r="G66" s="327"/>
      <c r="H66" s="13">
        <v>560000</v>
      </c>
      <c r="I66" s="328" t="s">
        <v>819</v>
      </c>
      <c r="J66" s="319" t="s">
        <v>273</v>
      </c>
      <c r="K66" s="356"/>
      <c r="L66" s="332">
        <v>25000</v>
      </c>
      <c r="M66" s="333" t="s">
        <v>820</v>
      </c>
      <c r="N66" s="334" t="s">
        <v>267</v>
      </c>
      <c r="O66" s="335"/>
      <c r="P66" s="29">
        <v>2364460</v>
      </c>
      <c r="Q66" s="26" t="s">
        <v>821</v>
      </c>
      <c r="R66" s="336" t="s">
        <v>273</v>
      </c>
      <c r="S66" s="335"/>
      <c r="T66" s="29">
        <v>10000</v>
      </c>
      <c r="U66" s="26" t="s">
        <v>822</v>
      </c>
      <c r="V66" s="336" t="s">
        <v>273</v>
      </c>
      <c r="W66" s="335"/>
      <c r="X66" s="13">
        <v>246000</v>
      </c>
      <c r="Y66" s="337" t="s">
        <v>823</v>
      </c>
      <c r="Z66" s="322" t="s">
        <v>267</v>
      </c>
      <c r="AA66" s="356"/>
      <c r="AB66" s="16">
        <v>1028711.6</v>
      </c>
      <c r="AC66" s="338" t="s">
        <v>413</v>
      </c>
      <c r="AD66" s="322" t="s">
        <v>273</v>
      </c>
      <c r="AE66" s="356"/>
      <c r="AF66" s="29">
        <v>27000</v>
      </c>
      <c r="AG66" s="339" t="s">
        <v>806</v>
      </c>
      <c r="AH66" s="322" t="s">
        <v>267</v>
      </c>
      <c r="AI66" s="356"/>
      <c r="AJ66" s="13">
        <v>33000</v>
      </c>
      <c r="AK66" s="339" t="s">
        <v>824</v>
      </c>
      <c r="AL66" s="322" t="s">
        <v>219</v>
      </c>
      <c r="AM66" s="356"/>
      <c r="AN66" s="13">
        <v>50000</v>
      </c>
      <c r="AO66" s="339" t="s">
        <v>825</v>
      </c>
      <c r="AP66" s="322" t="s">
        <v>219</v>
      </c>
      <c r="AQ66" s="356"/>
      <c r="AR66" s="13">
        <v>625000</v>
      </c>
      <c r="AS66" s="339" t="s">
        <v>706</v>
      </c>
    </row>
    <row r="67" spans="2:45" x14ac:dyDescent="0.25">
      <c r="B67" s="379">
        <v>2005000</v>
      </c>
      <c r="C67" s="327"/>
      <c r="D67" s="13"/>
      <c r="E67" s="328"/>
      <c r="F67" s="329"/>
      <c r="G67" s="327"/>
      <c r="H67" s="13">
        <v>15000</v>
      </c>
      <c r="I67" s="328" t="s">
        <v>826</v>
      </c>
      <c r="J67" s="319" t="s">
        <v>267</v>
      </c>
      <c r="K67" s="356"/>
      <c r="L67" s="332">
        <v>25000</v>
      </c>
      <c r="M67" s="333" t="s">
        <v>827</v>
      </c>
      <c r="N67" s="334" t="s">
        <v>267</v>
      </c>
      <c r="O67" s="335"/>
      <c r="P67" s="29">
        <v>9000</v>
      </c>
      <c r="Q67" s="26" t="s">
        <v>364</v>
      </c>
      <c r="R67" s="336" t="s">
        <v>267</v>
      </c>
      <c r="S67" s="335"/>
      <c r="T67" s="29">
        <v>1500000</v>
      </c>
      <c r="U67" s="26" t="s">
        <v>318</v>
      </c>
      <c r="V67" s="336" t="s">
        <v>273</v>
      </c>
      <c r="W67" s="335"/>
      <c r="X67" s="13">
        <v>65720.789999999994</v>
      </c>
      <c r="Y67" s="337" t="s">
        <v>453</v>
      </c>
      <c r="Z67" s="322" t="s">
        <v>267</v>
      </c>
      <c r="AA67" s="356"/>
      <c r="AB67" s="16">
        <v>788000</v>
      </c>
      <c r="AC67" s="338" t="s">
        <v>470</v>
      </c>
      <c r="AD67" s="322" t="s">
        <v>273</v>
      </c>
      <c r="AE67" s="356"/>
      <c r="AF67" s="29">
        <v>68830</v>
      </c>
      <c r="AG67" s="339" t="s">
        <v>399</v>
      </c>
      <c r="AH67" s="322" t="s">
        <v>219</v>
      </c>
      <c r="AI67" s="356"/>
      <c r="AJ67" s="13">
        <v>100000</v>
      </c>
      <c r="AK67" s="339" t="s">
        <v>828</v>
      </c>
      <c r="AL67" s="322" t="s">
        <v>219</v>
      </c>
      <c r="AM67" s="356"/>
      <c r="AN67" s="13">
        <v>60000</v>
      </c>
      <c r="AO67" s="339" t="s">
        <v>829</v>
      </c>
      <c r="AP67" s="322" t="s">
        <v>267</v>
      </c>
      <c r="AQ67" s="356"/>
      <c r="AR67" s="13">
        <v>700000</v>
      </c>
      <c r="AS67" s="339" t="s">
        <v>830</v>
      </c>
    </row>
    <row r="68" spans="2:45" x14ac:dyDescent="0.25">
      <c r="B68" s="326">
        <v>980000</v>
      </c>
      <c r="C68" s="327"/>
      <c r="D68" s="13"/>
      <c r="E68" s="328"/>
      <c r="F68" s="329"/>
      <c r="G68" s="327"/>
      <c r="H68" s="13">
        <v>9000</v>
      </c>
      <c r="I68" s="328" t="s">
        <v>831</v>
      </c>
      <c r="J68" s="319" t="s">
        <v>267</v>
      </c>
      <c r="K68" s="356"/>
      <c r="L68" s="332">
        <v>10000</v>
      </c>
      <c r="M68" s="333" t="s">
        <v>832</v>
      </c>
      <c r="N68" s="334" t="s">
        <v>267</v>
      </c>
      <c r="O68" s="335"/>
      <c r="P68" s="29">
        <v>300000</v>
      </c>
      <c r="Q68" s="26" t="s">
        <v>679</v>
      </c>
      <c r="R68" s="336" t="s">
        <v>273</v>
      </c>
      <c r="S68" s="335"/>
      <c r="T68" s="29">
        <v>650000</v>
      </c>
      <c r="U68" s="26" t="s">
        <v>623</v>
      </c>
      <c r="V68" s="336" t="s">
        <v>267</v>
      </c>
      <c r="W68" s="335"/>
      <c r="X68" s="13">
        <v>2157300</v>
      </c>
      <c r="Y68" s="337" t="s">
        <v>438</v>
      </c>
      <c r="Z68" s="322" t="s">
        <v>273</v>
      </c>
      <c r="AA68" s="356"/>
      <c r="AB68" s="16">
        <v>522150</v>
      </c>
      <c r="AC68" s="338" t="s">
        <v>336</v>
      </c>
      <c r="AD68" s="322" t="s">
        <v>273</v>
      </c>
      <c r="AE68" s="356"/>
      <c r="AF68" s="29">
        <v>44000</v>
      </c>
      <c r="AG68" s="339" t="s">
        <v>833</v>
      </c>
      <c r="AH68" s="322" t="s">
        <v>314</v>
      </c>
      <c r="AI68" s="356"/>
      <c r="AJ68" s="13">
        <v>10000</v>
      </c>
      <c r="AK68" s="339" t="s">
        <v>282</v>
      </c>
      <c r="AL68" s="322" t="s">
        <v>267</v>
      </c>
      <c r="AM68" s="356"/>
      <c r="AN68" s="13">
        <v>40000</v>
      </c>
      <c r="AO68" s="339" t="s">
        <v>834</v>
      </c>
      <c r="AP68" s="322" t="s">
        <v>219</v>
      </c>
      <c r="AQ68" s="356"/>
      <c r="AR68" s="13">
        <v>29630</v>
      </c>
      <c r="AS68" s="339" t="s">
        <v>835</v>
      </c>
    </row>
    <row r="69" spans="2:45" x14ac:dyDescent="0.25">
      <c r="B69" s="326">
        <v>95000</v>
      </c>
      <c r="C69" s="327"/>
      <c r="D69" s="13"/>
      <c r="E69" s="328"/>
      <c r="F69" s="329"/>
      <c r="G69" s="327"/>
      <c r="H69" s="13">
        <v>93120</v>
      </c>
      <c r="I69" s="328" t="s">
        <v>779</v>
      </c>
      <c r="J69" s="319" t="s">
        <v>273</v>
      </c>
      <c r="K69" s="356"/>
      <c r="L69" s="332">
        <v>34330</v>
      </c>
      <c r="M69" s="333" t="s">
        <v>836</v>
      </c>
      <c r="N69" s="334" t="s">
        <v>267</v>
      </c>
      <c r="O69" s="335"/>
      <c r="P69" s="29">
        <v>160000</v>
      </c>
      <c r="Q69" s="26" t="s">
        <v>563</v>
      </c>
      <c r="R69" s="336" t="s">
        <v>273</v>
      </c>
      <c r="S69" s="335"/>
      <c r="T69" s="29">
        <v>80000</v>
      </c>
      <c r="U69" s="26" t="s">
        <v>673</v>
      </c>
      <c r="V69" s="336" t="s">
        <v>273</v>
      </c>
      <c r="W69" s="335"/>
      <c r="X69" s="13">
        <v>230000</v>
      </c>
      <c r="Y69" s="337" t="s">
        <v>291</v>
      </c>
      <c r="Z69" s="322" t="s">
        <v>273</v>
      </c>
      <c r="AA69" s="356"/>
      <c r="AB69" s="16">
        <v>566700</v>
      </c>
      <c r="AC69" s="338" t="s">
        <v>837</v>
      </c>
      <c r="AD69" s="322" t="s">
        <v>273</v>
      </c>
      <c r="AE69" s="331"/>
      <c r="AF69" s="29">
        <v>50000</v>
      </c>
      <c r="AG69" s="339" t="s">
        <v>838</v>
      </c>
      <c r="AH69" s="322" t="s">
        <v>219</v>
      </c>
      <c r="AI69" s="356"/>
      <c r="AJ69" s="13">
        <v>26000</v>
      </c>
      <c r="AK69" s="339" t="s">
        <v>839</v>
      </c>
      <c r="AL69" s="322" t="s">
        <v>273</v>
      </c>
      <c r="AM69" s="356"/>
      <c r="AN69" s="13">
        <v>60000</v>
      </c>
      <c r="AO69" s="339" t="s">
        <v>840</v>
      </c>
      <c r="AP69" s="322" t="s">
        <v>219</v>
      </c>
      <c r="AQ69" s="356"/>
      <c r="AR69" s="13">
        <v>1169344</v>
      </c>
      <c r="AS69" s="339" t="s">
        <v>841</v>
      </c>
    </row>
    <row r="70" spans="2:45" x14ac:dyDescent="0.25">
      <c r="B70" s="326">
        <v>200000</v>
      </c>
      <c r="C70" s="327"/>
      <c r="D70" s="13"/>
      <c r="E70" s="328"/>
      <c r="F70" s="329"/>
      <c r="G70" s="327"/>
      <c r="H70" s="13">
        <v>58102.66</v>
      </c>
      <c r="I70" s="328" t="s">
        <v>726</v>
      </c>
      <c r="J70" s="319" t="s">
        <v>842</v>
      </c>
      <c r="K70" s="356"/>
      <c r="L70" s="332">
        <v>32500</v>
      </c>
      <c r="M70" s="333" t="s">
        <v>843</v>
      </c>
      <c r="N70" s="334" t="s">
        <v>267</v>
      </c>
      <c r="O70" s="335"/>
      <c r="P70" s="29">
        <v>30000</v>
      </c>
      <c r="Q70" s="26" t="s">
        <v>844</v>
      </c>
      <c r="R70" s="336" t="s">
        <v>267</v>
      </c>
      <c r="S70" s="335"/>
      <c r="T70" s="29">
        <v>121414.38</v>
      </c>
      <c r="U70" s="26" t="s">
        <v>845</v>
      </c>
      <c r="V70" s="336" t="s">
        <v>267</v>
      </c>
      <c r="W70" s="335"/>
      <c r="X70" s="13">
        <v>200000</v>
      </c>
      <c r="Y70" s="337" t="s">
        <v>846</v>
      </c>
      <c r="Z70" s="322" t="s">
        <v>273</v>
      </c>
      <c r="AA70" s="356"/>
      <c r="AB70" s="13">
        <v>2000000</v>
      </c>
      <c r="AC70" s="338" t="s">
        <v>847</v>
      </c>
      <c r="AD70" s="322" t="s">
        <v>273</v>
      </c>
      <c r="AE70" s="356"/>
      <c r="AF70" s="29">
        <v>62000</v>
      </c>
      <c r="AG70" s="339" t="s">
        <v>848</v>
      </c>
      <c r="AH70" s="322" t="s">
        <v>314</v>
      </c>
      <c r="AI70" s="356"/>
      <c r="AJ70" s="13">
        <v>1387175.94</v>
      </c>
      <c r="AK70" s="339" t="s">
        <v>413</v>
      </c>
      <c r="AL70" s="322" t="s">
        <v>273</v>
      </c>
      <c r="AM70" s="356"/>
      <c r="AN70" s="13">
        <v>150000</v>
      </c>
      <c r="AO70" s="339" t="s">
        <v>790</v>
      </c>
      <c r="AP70" s="322" t="s">
        <v>219</v>
      </c>
      <c r="AQ70" s="356"/>
      <c r="AR70" s="13">
        <v>105000</v>
      </c>
      <c r="AS70" s="339" t="s">
        <v>849</v>
      </c>
    </row>
    <row r="71" spans="2:45" x14ac:dyDescent="0.25">
      <c r="B71" s="326">
        <v>45000</v>
      </c>
      <c r="C71" s="327"/>
      <c r="D71" s="13"/>
      <c r="E71" s="328"/>
      <c r="F71" s="329"/>
      <c r="G71" s="327"/>
      <c r="H71" s="13">
        <v>311050</v>
      </c>
      <c r="I71" s="328" t="s">
        <v>850</v>
      </c>
      <c r="J71" s="319" t="s">
        <v>273</v>
      </c>
      <c r="K71" s="356"/>
      <c r="L71" s="332">
        <v>250000</v>
      </c>
      <c r="M71" s="333" t="s">
        <v>398</v>
      </c>
      <c r="N71" s="334" t="s">
        <v>267</v>
      </c>
      <c r="O71" s="335"/>
      <c r="P71" s="29">
        <v>1557270</v>
      </c>
      <c r="Q71" s="26" t="s">
        <v>851</v>
      </c>
      <c r="R71" s="336" t="s">
        <v>273</v>
      </c>
      <c r="S71" s="335"/>
      <c r="T71" s="29">
        <v>100000</v>
      </c>
      <c r="U71" s="26" t="s">
        <v>266</v>
      </c>
      <c r="V71" s="336" t="s">
        <v>267</v>
      </c>
      <c r="W71" s="335"/>
      <c r="X71" s="13">
        <v>17700</v>
      </c>
      <c r="Y71" s="337" t="s">
        <v>701</v>
      </c>
      <c r="Z71" s="322" t="s">
        <v>273</v>
      </c>
      <c r="AA71" s="356"/>
      <c r="AB71" s="13">
        <v>156395.98000000001</v>
      </c>
      <c r="AC71" s="338" t="s">
        <v>852</v>
      </c>
      <c r="AD71" s="322" t="s">
        <v>267</v>
      </c>
      <c r="AE71" s="356"/>
      <c r="AF71" s="29">
        <v>25000</v>
      </c>
      <c r="AG71" s="339" t="s">
        <v>853</v>
      </c>
      <c r="AH71" s="322" t="s">
        <v>219</v>
      </c>
      <c r="AI71" s="356"/>
      <c r="AJ71" s="13">
        <v>1993800</v>
      </c>
      <c r="AK71" s="339" t="s">
        <v>854</v>
      </c>
      <c r="AL71" s="322" t="s">
        <v>273</v>
      </c>
      <c r="AM71" s="356"/>
      <c r="AN71" s="13">
        <v>40000</v>
      </c>
      <c r="AO71" s="339" t="s">
        <v>855</v>
      </c>
      <c r="AP71" s="322" t="s">
        <v>219</v>
      </c>
      <c r="AQ71" s="356"/>
      <c r="AR71" s="13">
        <v>102850</v>
      </c>
      <c r="AS71" s="339" t="s">
        <v>856</v>
      </c>
    </row>
    <row r="72" spans="2:45" x14ac:dyDescent="0.25">
      <c r="B72" s="372">
        <v>46900</v>
      </c>
      <c r="C72" s="327"/>
      <c r="D72" s="13"/>
      <c r="E72" s="328"/>
      <c r="F72" s="329"/>
      <c r="G72" s="327"/>
      <c r="H72" s="13">
        <v>165255</v>
      </c>
      <c r="I72" s="328" t="s">
        <v>426</v>
      </c>
      <c r="J72" s="319" t="s">
        <v>273</v>
      </c>
      <c r="K72" s="356"/>
      <c r="L72" s="332">
        <v>52000</v>
      </c>
      <c r="M72" s="333" t="s">
        <v>857</v>
      </c>
      <c r="N72" s="334" t="s">
        <v>267</v>
      </c>
      <c r="O72" s="335"/>
      <c r="P72" s="29">
        <v>1000000</v>
      </c>
      <c r="Q72" s="26" t="s">
        <v>858</v>
      </c>
      <c r="R72" s="336" t="s">
        <v>273</v>
      </c>
      <c r="S72" s="335"/>
      <c r="T72" s="29">
        <v>26410</v>
      </c>
      <c r="U72" s="26" t="s">
        <v>859</v>
      </c>
      <c r="V72" s="336" t="s">
        <v>267</v>
      </c>
      <c r="W72" s="335"/>
      <c r="X72" s="13">
        <v>460000</v>
      </c>
      <c r="Y72" s="337" t="s">
        <v>860</v>
      </c>
      <c r="Z72" s="322" t="s">
        <v>273</v>
      </c>
      <c r="AA72" s="356"/>
      <c r="AB72" s="13">
        <v>59300</v>
      </c>
      <c r="AC72" s="338" t="s">
        <v>359</v>
      </c>
      <c r="AD72" s="322" t="s">
        <v>267</v>
      </c>
      <c r="AE72" s="356"/>
      <c r="AF72" s="29">
        <v>300000</v>
      </c>
      <c r="AG72" s="339" t="s">
        <v>558</v>
      </c>
      <c r="AH72" s="322" t="s">
        <v>314</v>
      </c>
      <c r="AI72" s="356"/>
      <c r="AJ72" s="13">
        <v>40080</v>
      </c>
      <c r="AK72" s="339" t="s">
        <v>861</v>
      </c>
      <c r="AL72" s="322" t="s">
        <v>273</v>
      </c>
      <c r="AM72" s="356"/>
      <c r="AN72" s="13">
        <v>40000</v>
      </c>
      <c r="AO72" s="339" t="s">
        <v>862</v>
      </c>
      <c r="AP72" s="322" t="s">
        <v>219</v>
      </c>
      <c r="AQ72" s="356"/>
      <c r="AR72" s="13">
        <v>150000</v>
      </c>
      <c r="AS72" s="337" t="s">
        <v>549</v>
      </c>
    </row>
    <row r="73" spans="2:45" x14ac:dyDescent="0.25">
      <c r="B73" s="372">
        <v>18000</v>
      </c>
      <c r="C73" s="327"/>
      <c r="D73" s="13"/>
      <c r="E73" s="328"/>
      <c r="F73" s="329"/>
      <c r="G73" s="327"/>
      <c r="H73" s="13">
        <v>395200</v>
      </c>
      <c r="I73" s="328" t="s">
        <v>863</v>
      </c>
      <c r="J73" s="319" t="s">
        <v>273</v>
      </c>
      <c r="K73" s="356"/>
      <c r="L73" s="332">
        <v>200000</v>
      </c>
      <c r="M73" s="333" t="s">
        <v>579</v>
      </c>
      <c r="N73" s="334" t="s">
        <v>267</v>
      </c>
      <c r="O73" s="335"/>
      <c r="P73" s="29">
        <v>1497267.58</v>
      </c>
      <c r="Q73" s="26" t="s">
        <v>864</v>
      </c>
      <c r="R73" s="336" t="s">
        <v>273</v>
      </c>
      <c r="S73" s="335"/>
      <c r="T73" s="29">
        <v>22216.01</v>
      </c>
      <c r="U73" s="26" t="s">
        <v>865</v>
      </c>
      <c r="V73" s="336" t="s">
        <v>267</v>
      </c>
      <c r="W73" s="335"/>
      <c r="X73" s="13">
        <v>64000</v>
      </c>
      <c r="Y73" s="337" t="s">
        <v>649</v>
      </c>
      <c r="Z73" s="322" t="s">
        <v>273</v>
      </c>
      <c r="AA73" s="356"/>
      <c r="AB73" s="13">
        <v>88576</v>
      </c>
      <c r="AC73" s="338" t="s">
        <v>866</v>
      </c>
      <c r="AD73" s="322" t="s">
        <v>267</v>
      </c>
      <c r="AE73" s="356"/>
      <c r="AF73" s="29">
        <v>2711500</v>
      </c>
      <c r="AG73" s="339" t="s">
        <v>867</v>
      </c>
      <c r="AH73" s="322" t="s">
        <v>314</v>
      </c>
      <c r="AI73" s="356"/>
      <c r="AJ73" s="13">
        <v>2191675</v>
      </c>
      <c r="AK73" s="339" t="s">
        <v>332</v>
      </c>
      <c r="AL73" s="322" t="s">
        <v>343</v>
      </c>
      <c r="AM73" s="356"/>
      <c r="AN73" s="13">
        <v>73700</v>
      </c>
      <c r="AO73" s="339" t="s">
        <v>868</v>
      </c>
      <c r="AP73" s="322" t="s">
        <v>219</v>
      </c>
      <c r="AQ73" s="356"/>
      <c r="AR73" s="13">
        <v>1245997</v>
      </c>
      <c r="AS73" s="337" t="s">
        <v>869</v>
      </c>
    </row>
    <row r="74" spans="2:45" x14ac:dyDescent="0.25">
      <c r="B74" s="372">
        <v>1211600</v>
      </c>
      <c r="C74" s="327"/>
      <c r="D74" s="13"/>
      <c r="E74" s="328"/>
      <c r="F74" s="329"/>
      <c r="G74" s="327"/>
      <c r="H74" s="13">
        <v>360000</v>
      </c>
      <c r="I74" s="328" t="s">
        <v>870</v>
      </c>
      <c r="J74" s="319" t="s">
        <v>273</v>
      </c>
      <c r="K74" s="356"/>
      <c r="L74" s="332">
        <v>570000</v>
      </c>
      <c r="M74" s="333" t="s">
        <v>871</v>
      </c>
      <c r="N74" s="334" t="s">
        <v>273</v>
      </c>
      <c r="O74" s="335"/>
      <c r="P74" s="29">
        <v>255000</v>
      </c>
      <c r="Q74" s="26" t="s">
        <v>758</v>
      </c>
      <c r="R74" s="336" t="s">
        <v>267</v>
      </c>
      <c r="S74" s="335"/>
      <c r="T74" s="29">
        <v>168000</v>
      </c>
      <c r="U74" s="26" t="s">
        <v>872</v>
      </c>
      <c r="V74" s="336" t="s">
        <v>219</v>
      </c>
      <c r="W74" s="335"/>
      <c r="X74" s="13">
        <v>496940</v>
      </c>
      <c r="Y74" s="337" t="s">
        <v>873</v>
      </c>
      <c r="Z74" s="322" t="s">
        <v>874</v>
      </c>
      <c r="AA74" s="356"/>
      <c r="AB74" s="13">
        <v>78197.899999999994</v>
      </c>
      <c r="AC74" s="338" t="s">
        <v>875</v>
      </c>
      <c r="AD74" s="322" t="s">
        <v>267</v>
      </c>
      <c r="AE74" s="356"/>
      <c r="AF74" s="29">
        <v>120000</v>
      </c>
      <c r="AG74" s="339" t="s">
        <v>876</v>
      </c>
      <c r="AH74" s="322" t="s">
        <v>267</v>
      </c>
      <c r="AI74" s="356"/>
      <c r="AJ74" s="13">
        <v>601848.94999999995</v>
      </c>
      <c r="AK74" s="339" t="s">
        <v>877</v>
      </c>
      <c r="AL74" s="322" t="s">
        <v>273</v>
      </c>
      <c r="AM74" s="356"/>
      <c r="AN74" s="13">
        <v>20460</v>
      </c>
      <c r="AO74" s="339" t="s">
        <v>878</v>
      </c>
      <c r="AP74" s="322" t="s">
        <v>219</v>
      </c>
      <c r="AQ74" s="356"/>
      <c r="AR74" s="40">
        <v>30000</v>
      </c>
      <c r="AS74" s="337" t="s">
        <v>879</v>
      </c>
    </row>
    <row r="75" spans="2:45" x14ac:dyDescent="0.25">
      <c r="B75" s="374">
        <v>70500</v>
      </c>
      <c r="C75" s="327"/>
      <c r="D75" s="13"/>
      <c r="E75" s="328"/>
      <c r="F75" s="319"/>
      <c r="G75" s="327"/>
      <c r="H75" s="13">
        <v>30000</v>
      </c>
      <c r="I75" s="328" t="s">
        <v>374</v>
      </c>
      <c r="J75" s="319" t="s">
        <v>273</v>
      </c>
      <c r="K75" s="356"/>
      <c r="L75" s="332">
        <v>15000</v>
      </c>
      <c r="M75" s="333" t="s">
        <v>880</v>
      </c>
      <c r="N75" s="334" t="s">
        <v>267</v>
      </c>
      <c r="O75" s="356"/>
      <c r="P75" s="29">
        <v>182000</v>
      </c>
      <c r="Q75" s="26" t="s">
        <v>366</v>
      </c>
      <c r="R75" s="336" t="s">
        <v>267</v>
      </c>
      <c r="S75" s="356"/>
      <c r="T75" s="29">
        <v>9000</v>
      </c>
      <c r="U75" s="337" t="s">
        <v>881</v>
      </c>
      <c r="V75" s="322" t="s">
        <v>219</v>
      </c>
      <c r="W75" s="356"/>
      <c r="X75" s="13">
        <v>6664736</v>
      </c>
      <c r="Y75" s="337" t="s">
        <v>882</v>
      </c>
      <c r="Z75" s="322" t="s">
        <v>273</v>
      </c>
      <c r="AA75" s="356"/>
      <c r="AB75" s="13">
        <v>364928.79</v>
      </c>
      <c r="AC75" s="338" t="s">
        <v>266</v>
      </c>
      <c r="AD75" s="322" t="s">
        <v>273</v>
      </c>
      <c r="AE75" s="356"/>
      <c r="AF75" s="29">
        <v>20000</v>
      </c>
      <c r="AG75" s="339" t="s">
        <v>883</v>
      </c>
      <c r="AH75" s="322" t="s">
        <v>267</v>
      </c>
      <c r="AI75" s="356"/>
      <c r="AJ75" s="13">
        <v>49700</v>
      </c>
      <c r="AK75" s="339" t="s">
        <v>884</v>
      </c>
      <c r="AL75" s="322" t="s">
        <v>885</v>
      </c>
      <c r="AM75" s="356"/>
      <c r="AN75" s="13">
        <v>93800</v>
      </c>
      <c r="AO75" s="339" t="s">
        <v>886</v>
      </c>
      <c r="AP75" s="322" t="s">
        <v>219</v>
      </c>
      <c r="AQ75" s="356"/>
      <c r="AR75" s="13">
        <v>250000</v>
      </c>
      <c r="AS75" s="337" t="s">
        <v>887</v>
      </c>
    </row>
    <row r="76" spans="2:45" x14ac:dyDescent="0.25">
      <c r="B76" s="326">
        <v>80348</v>
      </c>
      <c r="C76" s="327"/>
      <c r="D76" s="13"/>
      <c r="E76" s="328"/>
      <c r="F76" s="319"/>
      <c r="G76" s="327"/>
      <c r="H76" s="13">
        <v>51667</v>
      </c>
      <c r="I76" s="328" t="s">
        <v>779</v>
      </c>
      <c r="J76" s="319" t="s">
        <v>273</v>
      </c>
      <c r="K76" s="356"/>
      <c r="L76" s="332">
        <v>7720</v>
      </c>
      <c r="M76" s="333" t="s">
        <v>442</v>
      </c>
      <c r="N76" s="334" t="s">
        <v>267</v>
      </c>
      <c r="O76" s="356"/>
      <c r="P76" s="29">
        <v>475000</v>
      </c>
      <c r="Q76" s="26" t="s">
        <v>272</v>
      </c>
      <c r="R76" s="336" t="s">
        <v>444</v>
      </c>
      <c r="S76" s="356"/>
      <c r="T76" s="29">
        <v>41480</v>
      </c>
      <c r="U76" s="337" t="s">
        <v>414</v>
      </c>
      <c r="V76" s="322" t="s">
        <v>267</v>
      </c>
      <c r="W76" s="356"/>
      <c r="X76" s="13">
        <v>6664736</v>
      </c>
      <c r="Y76" s="337" t="s">
        <v>888</v>
      </c>
      <c r="Z76" s="322" t="s">
        <v>273</v>
      </c>
      <c r="AA76" s="356"/>
      <c r="AB76" s="13">
        <v>53942.76</v>
      </c>
      <c r="AC76" s="338" t="s">
        <v>889</v>
      </c>
      <c r="AD76" s="322" t="s">
        <v>273</v>
      </c>
      <c r="AE76" s="356"/>
      <c r="AF76" s="29">
        <v>360700</v>
      </c>
      <c r="AG76" s="339" t="s">
        <v>890</v>
      </c>
      <c r="AH76" s="322" t="s">
        <v>314</v>
      </c>
      <c r="AI76" s="356"/>
      <c r="AJ76" s="13">
        <v>50000</v>
      </c>
      <c r="AK76" s="339" t="s">
        <v>891</v>
      </c>
      <c r="AL76" s="322" t="s">
        <v>219</v>
      </c>
      <c r="AM76" s="356"/>
      <c r="AN76" s="13">
        <v>400000</v>
      </c>
      <c r="AO76" s="339" t="s">
        <v>892</v>
      </c>
      <c r="AP76" s="322" t="s">
        <v>219</v>
      </c>
      <c r="AQ76" s="356"/>
      <c r="AR76" s="13">
        <v>100000</v>
      </c>
      <c r="AS76" s="337" t="s">
        <v>893</v>
      </c>
    </row>
    <row r="77" spans="2:45" x14ac:dyDescent="0.25">
      <c r="B77" s="374">
        <v>379600</v>
      </c>
      <c r="C77" s="327"/>
      <c r="D77" s="13"/>
      <c r="E77" s="328"/>
      <c r="F77" s="329"/>
      <c r="G77" s="327"/>
      <c r="H77" s="13">
        <v>200000</v>
      </c>
      <c r="I77" s="328" t="s">
        <v>395</v>
      </c>
      <c r="J77" s="319" t="s">
        <v>273</v>
      </c>
      <c r="K77" s="356"/>
      <c r="L77" s="332">
        <v>1000000</v>
      </c>
      <c r="M77" s="333" t="s">
        <v>376</v>
      </c>
      <c r="N77" s="334" t="s">
        <v>273</v>
      </c>
      <c r="O77" s="356"/>
      <c r="P77" s="29">
        <v>148000</v>
      </c>
      <c r="Q77" s="337" t="s">
        <v>771</v>
      </c>
      <c r="R77" s="322" t="s">
        <v>273</v>
      </c>
      <c r="S77" s="335"/>
      <c r="T77" s="29">
        <v>680000</v>
      </c>
      <c r="U77" s="26" t="s">
        <v>680</v>
      </c>
      <c r="V77" s="336" t="s">
        <v>273</v>
      </c>
      <c r="W77" s="335"/>
      <c r="X77" s="13">
        <v>154300</v>
      </c>
      <c r="Y77" s="337" t="s">
        <v>739</v>
      </c>
      <c r="Z77" s="322" t="s">
        <v>267</v>
      </c>
      <c r="AA77" s="356"/>
      <c r="AB77" s="13">
        <v>405434.7</v>
      </c>
      <c r="AC77" s="338" t="s">
        <v>894</v>
      </c>
      <c r="AD77" s="322" t="s">
        <v>273</v>
      </c>
      <c r="AE77" s="331"/>
      <c r="AF77" s="29">
        <v>83775.95</v>
      </c>
      <c r="AG77" s="339" t="s">
        <v>895</v>
      </c>
      <c r="AH77" s="322" t="s">
        <v>314</v>
      </c>
      <c r="AI77" s="356"/>
      <c r="AJ77" s="13">
        <v>100000</v>
      </c>
      <c r="AK77" s="339" t="s">
        <v>896</v>
      </c>
      <c r="AL77" s="322" t="s">
        <v>219</v>
      </c>
      <c r="AM77" s="356"/>
      <c r="AN77" s="13">
        <v>40000</v>
      </c>
      <c r="AO77" s="380" t="s">
        <v>897</v>
      </c>
      <c r="AP77" s="381" t="s">
        <v>219</v>
      </c>
      <c r="AQ77" s="356"/>
      <c r="AR77" s="13">
        <v>125000</v>
      </c>
      <c r="AS77" s="339" t="s">
        <v>898</v>
      </c>
    </row>
    <row r="78" spans="2:45" x14ac:dyDescent="0.25">
      <c r="B78" s="326">
        <v>277584.82</v>
      </c>
      <c r="C78" s="327"/>
      <c r="D78" s="13"/>
      <c r="E78" s="328"/>
      <c r="F78" s="329"/>
      <c r="G78" s="327"/>
      <c r="H78" s="13">
        <v>12275.64</v>
      </c>
      <c r="I78" s="382" t="s">
        <v>899</v>
      </c>
      <c r="J78" s="319" t="s">
        <v>267</v>
      </c>
      <c r="K78" s="356"/>
      <c r="L78" s="332">
        <v>204570</v>
      </c>
      <c r="M78" s="333" t="s">
        <v>436</v>
      </c>
      <c r="N78" s="334" t="s">
        <v>267</v>
      </c>
      <c r="O78" s="356"/>
      <c r="P78" s="29">
        <v>15000</v>
      </c>
      <c r="Q78" s="337" t="s">
        <v>900</v>
      </c>
      <c r="R78" s="322" t="s">
        <v>267</v>
      </c>
      <c r="S78" s="335"/>
      <c r="T78" s="29">
        <v>400000</v>
      </c>
      <c r="U78" s="26" t="s">
        <v>901</v>
      </c>
      <c r="V78" s="322" t="s">
        <v>267</v>
      </c>
      <c r="W78" s="335"/>
      <c r="X78" s="13">
        <v>250000</v>
      </c>
      <c r="Y78" s="337" t="s">
        <v>902</v>
      </c>
      <c r="Z78" s="322" t="s">
        <v>273</v>
      </c>
      <c r="AA78" s="356"/>
      <c r="AB78" s="8" t="s">
        <v>903</v>
      </c>
      <c r="AC78" s="338" t="s">
        <v>380</v>
      </c>
      <c r="AD78" s="322" t="s">
        <v>273</v>
      </c>
      <c r="AE78" s="383"/>
      <c r="AF78" s="13">
        <v>200000</v>
      </c>
      <c r="AG78" s="337" t="s">
        <v>904</v>
      </c>
      <c r="AH78" s="322" t="s">
        <v>314</v>
      </c>
      <c r="AI78" s="356"/>
      <c r="AJ78" s="13">
        <v>300000</v>
      </c>
      <c r="AK78" s="339" t="s">
        <v>542</v>
      </c>
      <c r="AL78" s="322" t="s">
        <v>273</v>
      </c>
      <c r="AM78" s="356"/>
      <c r="AN78" s="13">
        <v>23322.5</v>
      </c>
      <c r="AO78" s="337" t="s">
        <v>905</v>
      </c>
      <c r="AP78" s="322" t="s">
        <v>267</v>
      </c>
      <c r="AQ78" s="356"/>
      <c r="AR78" s="13">
        <v>80000</v>
      </c>
      <c r="AS78" s="337" t="s">
        <v>906</v>
      </c>
    </row>
    <row r="79" spans="2:45" x14ac:dyDescent="0.25">
      <c r="B79" s="326">
        <v>53452.37</v>
      </c>
      <c r="C79" s="327"/>
      <c r="D79" s="13"/>
      <c r="E79" s="328"/>
      <c r="F79" s="329"/>
      <c r="G79" s="327"/>
      <c r="H79" s="13"/>
      <c r="I79" s="328"/>
      <c r="J79" s="334"/>
      <c r="K79" s="331"/>
      <c r="L79" s="332">
        <v>185500</v>
      </c>
      <c r="M79" s="333" t="s">
        <v>407</v>
      </c>
      <c r="N79" s="334" t="s">
        <v>267</v>
      </c>
      <c r="O79" s="356"/>
      <c r="P79" s="88">
        <v>68731.820000000007</v>
      </c>
      <c r="Q79" s="26" t="s">
        <v>889</v>
      </c>
      <c r="R79" s="336" t="s">
        <v>907</v>
      </c>
      <c r="S79" s="335"/>
      <c r="T79" s="8">
        <v>33100</v>
      </c>
      <c r="U79" s="26" t="s">
        <v>908</v>
      </c>
      <c r="V79" s="322" t="s">
        <v>267</v>
      </c>
      <c r="W79" s="335"/>
      <c r="X79" s="13">
        <v>200000</v>
      </c>
      <c r="Y79" s="337" t="s">
        <v>909</v>
      </c>
      <c r="Z79" s="322" t="s">
        <v>273</v>
      </c>
      <c r="AA79" s="331"/>
      <c r="AB79" s="8">
        <v>400000</v>
      </c>
      <c r="AC79" s="337" t="s">
        <v>910</v>
      </c>
      <c r="AD79" s="384" t="s">
        <v>273</v>
      </c>
      <c r="AE79" s="385"/>
      <c r="AF79" s="13">
        <v>100000</v>
      </c>
      <c r="AG79" s="337" t="s">
        <v>391</v>
      </c>
      <c r="AH79" s="322" t="s">
        <v>219</v>
      </c>
      <c r="AI79" s="331"/>
      <c r="AJ79" s="3">
        <v>250000</v>
      </c>
      <c r="AK79" s="352" t="s">
        <v>911</v>
      </c>
      <c r="AL79" s="322" t="s">
        <v>273</v>
      </c>
      <c r="AM79" s="331"/>
      <c r="AN79" s="13">
        <v>20000</v>
      </c>
      <c r="AO79" s="337" t="s">
        <v>912</v>
      </c>
      <c r="AP79" s="322" t="s">
        <v>267</v>
      </c>
      <c r="AQ79" s="331"/>
      <c r="AR79" s="13">
        <v>1000000</v>
      </c>
      <c r="AS79" s="337" t="s">
        <v>354</v>
      </c>
    </row>
    <row r="80" spans="2:45" x14ac:dyDescent="0.25">
      <c r="B80" s="326"/>
      <c r="C80" s="327"/>
      <c r="D80" s="231"/>
      <c r="E80" s="341"/>
      <c r="F80" s="329"/>
      <c r="G80" s="327"/>
      <c r="H80" s="231"/>
      <c r="I80" s="341"/>
      <c r="J80" s="386"/>
      <c r="K80" s="331"/>
      <c r="L80" s="343">
        <v>44100</v>
      </c>
      <c r="M80" s="344" t="s">
        <v>913</v>
      </c>
      <c r="N80" s="345" t="s">
        <v>267</v>
      </c>
      <c r="O80" s="356"/>
      <c r="P80" s="236">
        <v>150000</v>
      </c>
      <c r="Q80" s="237" t="s">
        <v>914</v>
      </c>
      <c r="R80" s="387" t="s">
        <v>267</v>
      </c>
      <c r="S80" s="335"/>
      <c r="T80" s="8">
        <v>275431</v>
      </c>
      <c r="U80" s="237" t="s">
        <v>410</v>
      </c>
      <c r="V80" s="336" t="s">
        <v>273</v>
      </c>
      <c r="W80" s="335"/>
      <c r="X80" s="13">
        <v>103840</v>
      </c>
      <c r="Y80" s="388" t="s">
        <v>398</v>
      </c>
      <c r="Z80" s="389" t="s">
        <v>267</v>
      </c>
      <c r="AA80" s="385"/>
      <c r="AB80" s="8">
        <v>806500</v>
      </c>
      <c r="AC80" s="337" t="s">
        <v>915</v>
      </c>
      <c r="AD80" s="384" t="s">
        <v>273</v>
      </c>
      <c r="AE80" s="385"/>
      <c r="AF80" s="13">
        <v>66300</v>
      </c>
      <c r="AG80" s="337" t="s">
        <v>916</v>
      </c>
      <c r="AH80" s="322" t="s">
        <v>267</v>
      </c>
      <c r="AI80" s="327"/>
      <c r="AJ80" s="3">
        <v>412000</v>
      </c>
      <c r="AK80" s="347" t="s">
        <v>917</v>
      </c>
      <c r="AL80" s="390" t="s">
        <v>273</v>
      </c>
      <c r="AM80" s="391"/>
      <c r="AN80" s="13">
        <v>700000</v>
      </c>
      <c r="AO80" s="337" t="s">
        <v>918</v>
      </c>
      <c r="AP80" s="322" t="s">
        <v>273</v>
      </c>
      <c r="AQ80" s="331"/>
      <c r="AR80" s="13">
        <v>125000</v>
      </c>
      <c r="AS80" s="337" t="s">
        <v>919</v>
      </c>
    </row>
    <row r="81" spans="2:45" ht="15.75" x14ac:dyDescent="0.25">
      <c r="B81" s="392"/>
      <c r="C81" s="423" t="e">
        <f>SUM(D2:D80)+[1]Empleados!#REF!+[1]Concejales!F16+'[1]Prof y pub'!C70</f>
        <v>#REF!</v>
      </c>
      <c r="D81" s="423"/>
      <c r="E81" s="423"/>
      <c r="F81" s="423"/>
      <c r="G81" s="423" t="e">
        <f>SUM(H2:H80)+[1]Empleados!#REF!+[1]Concejales!G16+'[1]Prof y pub'!D70</f>
        <v>#REF!</v>
      </c>
      <c r="H81" s="423"/>
      <c r="I81" s="423"/>
      <c r="J81" s="393"/>
      <c r="K81" s="356"/>
      <c r="L81" s="8">
        <v>22400</v>
      </c>
      <c r="M81" s="394" t="s">
        <v>920</v>
      </c>
      <c r="N81" s="395" t="s">
        <v>267</v>
      </c>
      <c r="O81" s="383"/>
      <c r="P81" s="396">
        <v>50000</v>
      </c>
      <c r="Q81" s="397" t="s">
        <v>921</v>
      </c>
      <c r="R81" s="398" t="s">
        <v>267</v>
      </c>
      <c r="S81" s="335"/>
      <c r="T81" s="8">
        <v>50000</v>
      </c>
      <c r="U81" s="237" t="s">
        <v>922</v>
      </c>
      <c r="V81" s="322" t="s">
        <v>267</v>
      </c>
      <c r="W81" s="335"/>
      <c r="X81" s="13">
        <v>700000</v>
      </c>
      <c r="Y81" s="337" t="s">
        <v>318</v>
      </c>
      <c r="Z81" s="322" t="s">
        <v>273</v>
      </c>
      <c r="AA81" s="356"/>
      <c r="AB81" s="8">
        <v>402600</v>
      </c>
      <c r="AC81" s="337" t="s">
        <v>923</v>
      </c>
      <c r="AD81" s="322" t="s">
        <v>273</v>
      </c>
      <c r="AE81" s="327"/>
      <c r="AF81" s="13">
        <v>6400</v>
      </c>
      <c r="AG81" s="337" t="s">
        <v>385</v>
      </c>
      <c r="AH81" s="322" t="s">
        <v>267</v>
      </c>
      <c r="AI81" s="327"/>
      <c r="AJ81" s="3">
        <v>100000</v>
      </c>
      <c r="AK81" s="347" t="s">
        <v>924</v>
      </c>
      <c r="AL81" s="353" t="s">
        <v>314</v>
      </c>
      <c r="AM81" s="327"/>
      <c r="AN81" s="13">
        <v>64800</v>
      </c>
      <c r="AO81" s="337" t="s">
        <v>833</v>
      </c>
      <c r="AP81" s="322" t="s">
        <v>353</v>
      </c>
      <c r="AQ81" s="356"/>
      <c r="AR81" s="13">
        <v>70000</v>
      </c>
      <c r="AS81" s="337" t="s">
        <v>925</v>
      </c>
    </row>
    <row r="82" spans="2:45" x14ac:dyDescent="0.25">
      <c r="J82" s="400"/>
      <c r="K82" s="356"/>
      <c r="L82" s="8">
        <v>22500</v>
      </c>
      <c r="M82" s="394" t="s">
        <v>505</v>
      </c>
      <c r="N82" s="395" t="s">
        <v>267</v>
      </c>
      <c r="O82" s="383"/>
      <c r="P82" s="401">
        <v>148500</v>
      </c>
      <c r="Q82" s="402" t="s">
        <v>378</v>
      </c>
      <c r="R82" s="403" t="s">
        <v>267</v>
      </c>
      <c r="S82" s="335"/>
      <c r="T82" s="8">
        <v>400000</v>
      </c>
      <c r="U82" s="237" t="s">
        <v>926</v>
      </c>
      <c r="V82" s="336" t="s">
        <v>273</v>
      </c>
      <c r="W82" s="335"/>
      <c r="X82" s="13">
        <v>100000</v>
      </c>
      <c r="Y82" s="337" t="s">
        <v>927</v>
      </c>
      <c r="Z82" s="322" t="s">
        <v>327</v>
      </c>
      <c r="AA82" s="356"/>
      <c r="AB82" s="8">
        <v>400000</v>
      </c>
      <c r="AC82" s="337" t="s">
        <v>928</v>
      </c>
      <c r="AD82" s="322" t="s">
        <v>929</v>
      </c>
      <c r="AE82" s="327"/>
      <c r="AF82" s="13">
        <v>250000</v>
      </c>
      <c r="AG82" s="337" t="s">
        <v>930</v>
      </c>
      <c r="AH82" s="322" t="s">
        <v>314</v>
      </c>
      <c r="AI82" s="327"/>
      <c r="AJ82" s="3">
        <v>725000</v>
      </c>
      <c r="AK82" s="347" t="s">
        <v>470</v>
      </c>
      <c r="AL82" s="353" t="s">
        <v>273</v>
      </c>
      <c r="AM82" s="327"/>
      <c r="AN82" s="13">
        <v>28537.62</v>
      </c>
      <c r="AO82" s="337" t="s">
        <v>931</v>
      </c>
      <c r="AP82" s="322" t="s">
        <v>273</v>
      </c>
      <c r="AQ82" s="356"/>
      <c r="AR82" s="13">
        <v>180000</v>
      </c>
      <c r="AS82" s="337" t="s">
        <v>932</v>
      </c>
    </row>
    <row r="83" spans="2:45" x14ac:dyDescent="0.25">
      <c r="J83" s="400"/>
      <c r="K83" s="331"/>
      <c r="L83" s="8">
        <v>235000</v>
      </c>
      <c r="M83" s="394" t="s">
        <v>629</v>
      </c>
      <c r="N83" s="395" t="s">
        <v>267</v>
      </c>
      <c r="O83" s="383"/>
      <c r="P83" s="13">
        <v>121414.38</v>
      </c>
      <c r="Q83" s="337" t="s">
        <v>417</v>
      </c>
      <c r="R83" s="404" t="s">
        <v>273</v>
      </c>
      <c r="S83" s="335"/>
      <c r="T83" s="8">
        <v>424500</v>
      </c>
      <c r="U83" s="237" t="s">
        <v>473</v>
      </c>
      <c r="V83" s="336" t="s">
        <v>273</v>
      </c>
      <c r="W83" s="335"/>
      <c r="X83" s="8">
        <v>540000</v>
      </c>
      <c r="Y83" s="237" t="s">
        <v>933</v>
      </c>
      <c r="Z83" s="336" t="s">
        <v>934</v>
      </c>
      <c r="AA83" s="331"/>
      <c r="AB83" s="8">
        <v>450000</v>
      </c>
      <c r="AC83" s="337" t="s">
        <v>935</v>
      </c>
      <c r="AD83" s="322" t="s">
        <v>273</v>
      </c>
      <c r="AE83" s="327"/>
      <c r="AF83" s="13">
        <v>600000</v>
      </c>
      <c r="AG83" s="337" t="s">
        <v>936</v>
      </c>
      <c r="AH83" s="322" t="s">
        <v>314</v>
      </c>
      <c r="AI83" s="327"/>
      <c r="AJ83" s="3">
        <v>150000</v>
      </c>
      <c r="AK83" s="347" t="s">
        <v>937</v>
      </c>
      <c r="AL83" s="353" t="s">
        <v>219</v>
      </c>
      <c r="AM83" s="327"/>
      <c r="AN83" s="13">
        <v>700000</v>
      </c>
      <c r="AO83" s="337" t="s">
        <v>742</v>
      </c>
      <c r="AP83" s="322" t="s">
        <v>273</v>
      </c>
      <c r="AQ83" s="356"/>
      <c r="AR83" s="13">
        <v>285000</v>
      </c>
      <c r="AS83" s="337" t="s">
        <v>938</v>
      </c>
    </row>
    <row r="84" spans="2:45" x14ac:dyDescent="0.25">
      <c r="J84" s="400"/>
      <c r="K84" s="331"/>
      <c r="L84" s="8">
        <v>50000</v>
      </c>
      <c r="M84" s="394" t="s">
        <v>939</v>
      </c>
      <c r="N84" s="395" t="s">
        <v>267</v>
      </c>
      <c r="O84" s="383"/>
      <c r="P84" s="13">
        <v>20000</v>
      </c>
      <c r="Q84" s="337" t="s">
        <v>940</v>
      </c>
      <c r="R84" s="404" t="s">
        <v>267</v>
      </c>
      <c r="S84" s="335"/>
      <c r="T84" s="8">
        <v>64627</v>
      </c>
      <c r="U84" s="237" t="s">
        <v>266</v>
      </c>
      <c r="V84" s="336" t="s">
        <v>267</v>
      </c>
      <c r="W84" s="335"/>
      <c r="X84" s="8">
        <v>234000</v>
      </c>
      <c r="Y84" s="237" t="s">
        <v>941</v>
      </c>
      <c r="Z84" s="336" t="s">
        <v>273</v>
      </c>
      <c r="AA84" s="356"/>
      <c r="AB84" s="8">
        <v>411000</v>
      </c>
      <c r="AC84" s="337" t="s">
        <v>942</v>
      </c>
      <c r="AD84" s="322" t="s">
        <v>273</v>
      </c>
      <c r="AE84" s="327"/>
      <c r="AF84" s="13">
        <v>250000</v>
      </c>
      <c r="AG84" s="337" t="s">
        <v>904</v>
      </c>
      <c r="AH84" s="322" t="s">
        <v>219</v>
      </c>
      <c r="AI84" s="327"/>
      <c r="AJ84" s="3">
        <v>103200</v>
      </c>
      <c r="AK84" s="347" t="s">
        <v>943</v>
      </c>
      <c r="AL84" s="353" t="s">
        <v>267</v>
      </c>
      <c r="AM84" s="327"/>
      <c r="AN84" s="13">
        <v>50000</v>
      </c>
      <c r="AO84" s="337" t="s">
        <v>564</v>
      </c>
      <c r="AP84" s="322" t="s">
        <v>219</v>
      </c>
      <c r="AQ84" s="356"/>
      <c r="AR84" s="13">
        <v>200000</v>
      </c>
      <c r="AS84" s="337" t="s">
        <v>725</v>
      </c>
    </row>
    <row r="85" spans="2:45" x14ac:dyDescent="0.25">
      <c r="B85" s="405">
        <f>SUM(B9,B26:B31:B33:B34,B38,B41:B42,B44,B47)</f>
        <v>7168334.1200000001</v>
      </c>
      <c r="J85" s="400"/>
      <c r="K85" s="356"/>
      <c r="L85" s="8">
        <v>14312.24</v>
      </c>
      <c r="M85" s="394" t="s">
        <v>944</v>
      </c>
      <c r="N85" s="395" t="s">
        <v>267</v>
      </c>
      <c r="O85" s="383"/>
      <c r="P85" s="13">
        <v>12300</v>
      </c>
      <c r="Q85" s="337" t="s">
        <v>374</v>
      </c>
      <c r="R85" s="404" t="s">
        <v>267</v>
      </c>
      <c r="S85" s="335"/>
      <c r="T85" s="8">
        <v>111200</v>
      </c>
      <c r="U85" s="237" t="s">
        <v>945</v>
      </c>
      <c r="V85" s="336" t="s">
        <v>267</v>
      </c>
      <c r="W85" s="335"/>
      <c r="X85" s="8">
        <v>196700</v>
      </c>
      <c r="Y85" s="237" t="s">
        <v>946</v>
      </c>
      <c r="Z85" s="336" t="s">
        <v>273</v>
      </c>
      <c r="AA85" s="356"/>
      <c r="AB85" s="8">
        <v>35000</v>
      </c>
      <c r="AC85" s="337" t="s">
        <v>947</v>
      </c>
      <c r="AD85" s="322" t="s">
        <v>267</v>
      </c>
      <c r="AE85" s="327"/>
      <c r="AF85" s="13">
        <v>44000</v>
      </c>
      <c r="AG85" s="337" t="s">
        <v>833</v>
      </c>
      <c r="AH85" s="322" t="s">
        <v>314</v>
      </c>
      <c r="AI85" s="327"/>
      <c r="AJ85" s="3">
        <v>176000</v>
      </c>
      <c r="AK85" s="347" t="s">
        <v>453</v>
      </c>
      <c r="AL85" s="353" t="s">
        <v>219</v>
      </c>
      <c r="AM85" s="327"/>
      <c r="AN85" s="13">
        <v>200000</v>
      </c>
      <c r="AO85" s="337" t="s">
        <v>948</v>
      </c>
      <c r="AP85" s="322" t="s">
        <v>219</v>
      </c>
      <c r="AQ85" s="356"/>
      <c r="AR85" s="13">
        <v>500000</v>
      </c>
      <c r="AS85" s="337" t="s">
        <v>438</v>
      </c>
    </row>
    <row r="86" spans="2:45" ht="15.75" x14ac:dyDescent="0.25">
      <c r="K86" s="423">
        <f>SUM(L2:L85,'[1]Prof y pub'!E33:E59)</f>
        <v>31752930.84</v>
      </c>
      <c r="L86" s="423"/>
      <c r="M86" s="423"/>
      <c r="N86" s="424"/>
      <c r="O86" s="383"/>
      <c r="P86" s="13">
        <v>147825</v>
      </c>
      <c r="Q86" s="337" t="s">
        <v>266</v>
      </c>
      <c r="R86" s="404" t="s">
        <v>273</v>
      </c>
      <c r="S86" s="335"/>
      <c r="T86" s="8">
        <v>350000</v>
      </c>
      <c r="U86" s="237" t="s">
        <v>490</v>
      </c>
      <c r="V86" s="336" t="s">
        <v>273</v>
      </c>
      <c r="W86" s="335"/>
      <c r="X86" s="13">
        <v>23224.21</v>
      </c>
      <c r="Y86" s="388" t="s">
        <v>949</v>
      </c>
      <c r="Z86" s="389" t="s">
        <v>267</v>
      </c>
      <c r="AA86" s="385"/>
      <c r="AB86" s="8">
        <v>112200</v>
      </c>
      <c r="AC86" s="337" t="s">
        <v>286</v>
      </c>
      <c r="AD86" s="322" t="s">
        <v>267</v>
      </c>
      <c r="AE86" s="327"/>
      <c r="AF86" s="13">
        <v>1500000</v>
      </c>
      <c r="AG86" s="337" t="s">
        <v>950</v>
      </c>
      <c r="AH86" s="322" t="s">
        <v>314</v>
      </c>
      <c r="AI86" s="327"/>
      <c r="AJ86" s="3">
        <v>194600</v>
      </c>
      <c r="AK86" s="347" t="s">
        <v>951</v>
      </c>
      <c r="AL86" s="353" t="s">
        <v>273</v>
      </c>
      <c r="AM86" s="327"/>
      <c r="AN86" s="13">
        <v>300000</v>
      </c>
      <c r="AO86" s="337" t="s">
        <v>952</v>
      </c>
      <c r="AP86" s="322" t="s">
        <v>273</v>
      </c>
      <c r="AQ86" s="356"/>
      <c r="AR86" s="13">
        <v>420000</v>
      </c>
      <c r="AS86" s="337" t="s">
        <v>629</v>
      </c>
    </row>
    <row r="87" spans="2:45" x14ac:dyDescent="0.25">
      <c r="N87" s="406"/>
      <c r="O87" s="383"/>
      <c r="P87" s="13">
        <v>520000</v>
      </c>
      <c r="Q87" s="337" t="s">
        <v>833</v>
      </c>
      <c r="R87" s="404" t="s">
        <v>444</v>
      </c>
      <c r="S87" s="335"/>
      <c r="T87" s="8">
        <v>50000</v>
      </c>
      <c r="U87" s="237" t="s">
        <v>812</v>
      </c>
      <c r="V87" s="336" t="s">
        <v>273</v>
      </c>
      <c r="W87" s="335"/>
      <c r="X87" s="13">
        <v>785901</v>
      </c>
      <c r="Y87" s="337" t="s">
        <v>537</v>
      </c>
      <c r="Z87" s="322" t="s">
        <v>273</v>
      </c>
      <c r="AA87" s="331"/>
      <c r="AB87" s="8">
        <v>20000</v>
      </c>
      <c r="AC87" s="337" t="s">
        <v>953</v>
      </c>
      <c r="AD87" s="322" t="s">
        <v>267</v>
      </c>
      <c r="AE87" s="327"/>
      <c r="AF87" s="13">
        <v>60000</v>
      </c>
      <c r="AG87" s="337" t="s">
        <v>954</v>
      </c>
      <c r="AH87" s="322" t="s">
        <v>314</v>
      </c>
      <c r="AI87" s="327"/>
      <c r="AJ87" s="3">
        <v>1589030</v>
      </c>
      <c r="AK87" s="347" t="s">
        <v>534</v>
      </c>
      <c r="AL87" s="322" t="s">
        <v>273</v>
      </c>
      <c r="AM87" s="327"/>
      <c r="AN87" s="13">
        <v>11250</v>
      </c>
      <c r="AO87" s="337" t="s">
        <v>442</v>
      </c>
      <c r="AP87" s="322" t="s">
        <v>267</v>
      </c>
      <c r="AQ87" s="356"/>
      <c r="AR87" s="13">
        <v>100000</v>
      </c>
      <c r="AS87" s="337" t="s">
        <v>955</v>
      </c>
    </row>
    <row r="88" spans="2:45" x14ac:dyDescent="0.25">
      <c r="L88" s="268" t="e">
        <f>SUM(L8,L17,L19,#REF!,L33,L50,L77)</f>
        <v>#REF!</v>
      </c>
      <c r="M88" s="407" t="s">
        <v>956</v>
      </c>
      <c r="N88" s="400"/>
      <c r="O88" s="383"/>
      <c r="P88" s="13">
        <v>320000</v>
      </c>
      <c r="Q88" s="337" t="s">
        <v>359</v>
      </c>
      <c r="R88" s="404" t="s">
        <v>444</v>
      </c>
      <c r="S88" s="335"/>
      <c r="T88" s="8">
        <v>162913</v>
      </c>
      <c r="U88" s="237" t="s">
        <v>266</v>
      </c>
      <c r="V88" s="336" t="s">
        <v>273</v>
      </c>
      <c r="W88" s="335"/>
      <c r="X88" s="13">
        <v>2071999.96</v>
      </c>
      <c r="Y88" s="337" t="s">
        <v>957</v>
      </c>
      <c r="Z88" s="322" t="s">
        <v>273</v>
      </c>
      <c r="AA88" s="356"/>
      <c r="AB88" s="8">
        <v>20170</v>
      </c>
      <c r="AC88" s="337" t="s">
        <v>958</v>
      </c>
      <c r="AD88" s="322" t="s">
        <v>267</v>
      </c>
      <c r="AE88" s="327"/>
      <c r="AF88" s="13">
        <v>21000</v>
      </c>
      <c r="AG88" s="337" t="s">
        <v>959</v>
      </c>
      <c r="AH88" s="322" t="s">
        <v>267</v>
      </c>
      <c r="AI88" s="327"/>
      <c r="AJ88" s="3">
        <v>200000</v>
      </c>
      <c r="AK88" s="347" t="s">
        <v>960</v>
      </c>
      <c r="AL88" s="353" t="s">
        <v>219</v>
      </c>
      <c r="AM88" s="327"/>
      <c r="AN88" s="13">
        <v>200000</v>
      </c>
      <c r="AO88" s="337" t="s">
        <v>961</v>
      </c>
      <c r="AP88" s="322" t="s">
        <v>267</v>
      </c>
      <c r="AQ88" s="356"/>
      <c r="AR88" s="13">
        <v>170000</v>
      </c>
      <c r="AS88" s="337" t="s">
        <v>962</v>
      </c>
    </row>
    <row r="89" spans="2:45" x14ac:dyDescent="0.25">
      <c r="E89"/>
      <c r="F89" s="399"/>
      <c r="H89"/>
      <c r="I89" s="1"/>
      <c r="O89" s="383"/>
      <c r="P89" s="13">
        <v>150000</v>
      </c>
      <c r="Q89" s="337" t="s">
        <v>533</v>
      </c>
      <c r="R89" s="404" t="s">
        <v>267</v>
      </c>
      <c r="S89" s="335"/>
      <c r="T89" s="8">
        <v>103000</v>
      </c>
      <c r="U89" s="237" t="s">
        <v>275</v>
      </c>
      <c r="V89" s="336" t="s">
        <v>273</v>
      </c>
      <c r="W89" s="335"/>
      <c r="X89" s="13">
        <v>76680</v>
      </c>
      <c r="Y89" s="388" t="s">
        <v>963</v>
      </c>
      <c r="Z89" s="389" t="s">
        <v>267</v>
      </c>
      <c r="AA89" s="385"/>
      <c r="AB89" s="8">
        <v>100000</v>
      </c>
      <c r="AC89" s="337" t="s">
        <v>964</v>
      </c>
      <c r="AD89" s="322" t="s">
        <v>219</v>
      </c>
      <c r="AE89" s="327"/>
      <c r="AF89" s="13">
        <v>75000</v>
      </c>
      <c r="AG89" s="337" t="s">
        <v>965</v>
      </c>
      <c r="AH89" s="322" t="s">
        <v>314</v>
      </c>
      <c r="AI89" s="327"/>
      <c r="AJ89" s="3">
        <v>250000</v>
      </c>
      <c r="AK89" s="347" t="s">
        <v>966</v>
      </c>
      <c r="AL89" s="353" t="s">
        <v>219</v>
      </c>
      <c r="AM89" s="327"/>
      <c r="AN89" s="13">
        <v>970000</v>
      </c>
      <c r="AO89" s="337" t="s">
        <v>967</v>
      </c>
      <c r="AP89" s="322" t="s">
        <v>273</v>
      </c>
      <c r="AQ89" s="356"/>
      <c r="AR89" s="13">
        <v>14000</v>
      </c>
      <c r="AS89" s="337" t="s">
        <v>968</v>
      </c>
    </row>
    <row r="90" spans="2:45" x14ac:dyDescent="0.25">
      <c r="N90" s="400"/>
      <c r="O90" s="383"/>
      <c r="P90" s="13">
        <v>38400</v>
      </c>
      <c r="Q90" s="337" t="s">
        <v>969</v>
      </c>
      <c r="R90" s="404" t="s">
        <v>273</v>
      </c>
      <c r="S90" s="335"/>
      <c r="T90" s="8">
        <v>115000</v>
      </c>
      <c r="U90" s="237" t="s">
        <v>970</v>
      </c>
      <c r="V90" s="336" t="s">
        <v>267</v>
      </c>
      <c r="W90" s="335"/>
      <c r="X90" s="13">
        <v>17850</v>
      </c>
      <c r="Y90" s="337" t="s">
        <v>971</v>
      </c>
      <c r="Z90" s="322" t="s">
        <v>267</v>
      </c>
      <c r="AA90" s="356"/>
      <c r="AB90" s="8">
        <v>236700</v>
      </c>
      <c r="AC90" s="337" t="s">
        <v>972</v>
      </c>
      <c r="AD90" s="322" t="s">
        <v>267</v>
      </c>
      <c r="AE90" s="327"/>
      <c r="AF90" s="13">
        <v>1464320.56</v>
      </c>
      <c r="AG90" s="337" t="s">
        <v>413</v>
      </c>
      <c r="AH90" s="322" t="s">
        <v>314</v>
      </c>
      <c r="AI90" s="327"/>
      <c r="AJ90" s="3">
        <v>180000</v>
      </c>
      <c r="AK90" s="347" t="s">
        <v>973</v>
      </c>
      <c r="AL90" s="353" t="s">
        <v>273</v>
      </c>
      <c r="AM90" s="327"/>
      <c r="AN90" s="13">
        <v>184224.48</v>
      </c>
      <c r="AO90" s="337" t="s">
        <v>974</v>
      </c>
      <c r="AP90" s="322" t="s">
        <v>975</v>
      </c>
      <c r="AQ90" s="356"/>
      <c r="AR90" s="13">
        <v>220000</v>
      </c>
      <c r="AS90" s="337" t="s">
        <v>438</v>
      </c>
    </row>
    <row r="91" spans="2:45" x14ac:dyDescent="0.25">
      <c r="N91" s="400"/>
      <c r="O91" s="383"/>
      <c r="P91" s="13">
        <v>16000</v>
      </c>
      <c r="Q91" s="337" t="s">
        <v>976</v>
      </c>
      <c r="R91" s="404" t="s">
        <v>273</v>
      </c>
      <c r="S91" s="335"/>
      <c r="T91" s="8">
        <v>64000</v>
      </c>
      <c r="U91" s="237" t="s">
        <v>649</v>
      </c>
      <c r="V91" s="336" t="s">
        <v>267</v>
      </c>
      <c r="W91" s="335"/>
      <c r="X91" s="13">
        <v>145000</v>
      </c>
      <c r="Y91" s="337" t="s">
        <v>977</v>
      </c>
      <c r="Z91" s="384" t="s">
        <v>267</v>
      </c>
      <c r="AA91" s="408"/>
      <c r="AB91" s="8">
        <v>350000</v>
      </c>
      <c r="AC91" s="337" t="s">
        <v>978</v>
      </c>
      <c r="AD91" s="322" t="s">
        <v>273</v>
      </c>
      <c r="AE91" s="327"/>
      <c r="AF91" s="13">
        <v>4488272</v>
      </c>
      <c r="AG91" s="337" t="s">
        <v>979</v>
      </c>
      <c r="AH91" s="322" t="s">
        <v>219</v>
      </c>
      <c r="AI91" s="327"/>
      <c r="AJ91" s="3">
        <v>40000</v>
      </c>
      <c r="AK91" s="347" t="s">
        <v>608</v>
      </c>
      <c r="AL91" s="353" t="s">
        <v>267</v>
      </c>
      <c r="AM91" s="327"/>
      <c r="AN91" s="13">
        <v>224000</v>
      </c>
      <c r="AO91" s="337" t="s">
        <v>980</v>
      </c>
      <c r="AP91" s="322" t="s">
        <v>273</v>
      </c>
      <c r="AQ91" s="356"/>
      <c r="AR91" s="13">
        <v>1000000</v>
      </c>
      <c r="AS91" s="337" t="s">
        <v>318</v>
      </c>
    </row>
    <row r="92" spans="2:45" x14ac:dyDescent="0.25">
      <c r="N92" s="400"/>
      <c r="O92" s="383"/>
      <c r="P92" s="13">
        <v>40000</v>
      </c>
      <c r="Q92" s="337" t="s">
        <v>981</v>
      </c>
      <c r="R92" s="404" t="s">
        <v>267</v>
      </c>
      <c r="S92" s="335"/>
      <c r="T92" s="8">
        <v>315000</v>
      </c>
      <c r="U92" s="237" t="s">
        <v>982</v>
      </c>
      <c r="V92" s="336" t="s">
        <v>219</v>
      </c>
      <c r="W92" s="335"/>
      <c r="X92" s="13">
        <v>300000</v>
      </c>
      <c r="Y92" s="388" t="s">
        <v>983</v>
      </c>
      <c r="Z92" s="389" t="s">
        <v>273</v>
      </c>
      <c r="AA92" s="385"/>
      <c r="AB92" s="8">
        <v>1295000</v>
      </c>
      <c r="AC92" s="337" t="s">
        <v>984</v>
      </c>
      <c r="AD92" s="322" t="s">
        <v>273</v>
      </c>
      <c r="AE92" s="327"/>
      <c r="AF92" s="13">
        <v>27000</v>
      </c>
      <c r="AG92" s="337" t="s">
        <v>806</v>
      </c>
      <c r="AH92" s="322" t="s">
        <v>267</v>
      </c>
      <c r="AI92" s="327"/>
      <c r="AJ92" s="3">
        <v>35000</v>
      </c>
      <c r="AK92" s="347" t="s">
        <v>985</v>
      </c>
      <c r="AL92" s="353" t="s">
        <v>267</v>
      </c>
      <c r="AM92" s="327"/>
      <c r="AN92" s="13">
        <v>10000</v>
      </c>
      <c r="AO92" s="337" t="s">
        <v>986</v>
      </c>
      <c r="AP92" s="322" t="s">
        <v>267</v>
      </c>
      <c r="AQ92" s="356"/>
      <c r="AR92" s="13">
        <v>479999.9</v>
      </c>
      <c r="AS92" s="337" t="s">
        <v>987</v>
      </c>
    </row>
    <row r="93" spans="2:45" x14ac:dyDescent="0.25">
      <c r="N93" s="400"/>
      <c r="O93" s="383"/>
      <c r="P93" s="13">
        <v>1200000</v>
      </c>
      <c r="Q93" s="337" t="s">
        <v>593</v>
      </c>
      <c r="R93" s="404" t="s">
        <v>273</v>
      </c>
      <c r="S93" s="335"/>
      <c r="T93" s="8">
        <v>60000</v>
      </c>
      <c r="U93" s="237" t="s">
        <v>988</v>
      </c>
      <c r="V93" s="336" t="s">
        <v>219</v>
      </c>
      <c r="W93" s="335"/>
      <c r="X93" s="13">
        <v>200000</v>
      </c>
      <c r="Y93" s="337" t="s">
        <v>989</v>
      </c>
      <c r="Z93" s="389" t="s">
        <v>273</v>
      </c>
      <c r="AA93" s="385"/>
      <c r="AB93" s="8">
        <v>806500</v>
      </c>
      <c r="AC93" s="337" t="s">
        <v>915</v>
      </c>
      <c r="AD93" s="322" t="s">
        <v>273</v>
      </c>
      <c r="AE93" s="327"/>
      <c r="AF93" s="13">
        <v>15600</v>
      </c>
      <c r="AG93" s="337" t="s">
        <v>723</v>
      </c>
      <c r="AH93" s="322" t="s">
        <v>267</v>
      </c>
      <c r="AI93" s="327"/>
      <c r="AJ93" s="3">
        <v>900000</v>
      </c>
      <c r="AK93" s="347" t="s">
        <v>990</v>
      </c>
      <c r="AL93" s="353" t="s">
        <v>273</v>
      </c>
      <c r="AM93" s="327"/>
      <c r="AN93" s="13">
        <v>2200000</v>
      </c>
      <c r="AO93" s="337" t="s">
        <v>991</v>
      </c>
      <c r="AP93" s="322" t="s">
        <v>273</v>
      </c>
      <c r="AQ93" s="356"/>
      <c r="AR93" s="13">
        <v>156090</v>
      </c>
      <c r="AS93" s="337" t="s">
        <v>992</v>
      </c>
    </row>
    <row r="94" spans="2:45" x14ac:dyDescent="0.25">
      <c r="N94" s="400"/>
      <c r="O94" s="383"/>
      <c r="P94" s="13">
        <v>100000</v>
      </c>
      <c r="Q94" s="337" t="s">
        <v>993</v>
      </c>
      <c r="R94" s="404" t="s">
        <v>273</v>
      </c>
      <c r="S94" s="335"/>
      <c r="T94" s="8">
        <v>500000</v>
      </c>
      <c r="U94" s="237" t="s">
        <v>318</v>
      </c>
      <c r="V94" s="336" t="s">
        <v>267</v>
      </c>
      <c r="W94" s="335"/>
      <c r="X94" s="13">
        <v>69235.8</v>
      </c>
      <c r="Y94" s="337" t="s">
        <v>350</v>
      </c>
      <c r="Z94" s="322" t="s">
        <v>273</v>
      </c>
      <c r="AA94" s="356"/>
      <c r="AB94" s="8">
        <v>5100</v>
      </c>
      <c r="AC94" s="337" t="s">
        <v>958</v>
      </c>
      <c r="AD94" s="322" t="s">
        <v>219</v>
      </c>
      <c r="AE94" s="327"/>
      <c r="AF94" s="13">
        <v>670000</v>
      </c>
      <c r="AG94" s="337" t="s">
        <v>994</v>
      </c>
      <c r="AH94" s="322" t="s">
        <v>314</v>
      </c>
      <c r="AI94" s="327"/>
      <c r="AJ94" s="3">
        <v>395929.66</v>
      </c>
      <c r="AK94" s="347" t="s">
        <v>240</v>
      </c>
      <c r="AL94" s="353" t="s">
        <v>273</v>
      </c>
      <c r="AM94" s="327"/>
      <c r="AN94" s="13">
        <v>63800</v>
      </c>
      <c r="AO94" s="337" t="s">
        <v>995</v>
      </c>
      <c r="AP94" s="322" t="s">
        <v>267</v>
      </c>
      <c r="AQ94" s="356"/>
      <c r="AR94" s="13">
        <v>71900</v>
      </c>
      <c r="AS94" s="337" t="s">
        <v>996</v>
      </c>
    </row>
    <row r="95" spans="2:45" x14ac:dyDescent="0.25">
      <c r="N95" s="400"/>
      <c r="O95" s="383"/>
      <c r="P95" s="8">
        <v>6300</v>
      </c>
      <c r="Q95" s="337" t="s">
        <v>436</v>
      </c>
      <c r="R95" s="404" t="s">
        <v>267</v>
      </c>
      <c r="S95" s="335"/>
      <c r="T95" s="8">
        <v>60707.19</v>
      </c>
      <c r="U95" s="237" t="s">
        <v>417</v>
      </c>
      <c r="V95" s="336" t="s">
        <v>273</v>
      </c>
      <c r="W95" s="335"/>
      <c r="X95" s="13">
        <v>75487</v>
      </c>
      <c r="Y95" s="337" t="s">
        <v>997</v>
      </c>
      <c r="Z95" s="322" t="s">
        <v>273</v>
      </c>
      <c r="AA95" s="331"/>
      <c r="AB95" s="8">
        <v>80000</v>
      </c>
      <c r="AC95" s="337" t="s">
        <v>762</v>
      </c>
      <c r="AD95" s="322" t="s">
        <v>219</v>
      </c>
      <c r="AE95" s="327"/>
      <c r="AF95" s="13">
        <v>240000</v>
      </c>
      <c r="AG95" s="337" t="s">
        <v>998</v>
      </c>
      <c r="AH95" s="322" t="s">
        <v>314</v>
      </c>
      <c r="AI95" s="327"/>
      <c r="AJ95" s="3">
        <v>150000</v>
      </c>
      <c r="AK95" s="347" t="s">
        <v>936</v>
      </c>
      <c r="AL95" s="353" t="s">
        <v>273</v>
      </c>
      <c r="AM95" s="327"/>
      <c r="AN95" s="13">
        <v>182000</v>
      </c>
      <c r="AO95" s="337" t="s">
        <v>673</v>
      </c>
      <c r="AP95" s="322" t="s">
        <v>273</v>
      </c>
      <c r="AQ95" s="356"/>
      <c r="AR95" s="13">
        <v>20000</v>
      </c>
      <c r="AS95" s="337" t="s">
        <v>999</v>
      </c>
    </row>
    <row r="96" spans="2:45" x14ac:dyDescent="0.25">
      <c r="N96" s="400"/>
      <c r="O96" s="383"/>
      <c r="P96" s="8">
        <v>9000</v>
      </c>
      <c r="Q96" s="337" t="s">
        <v>364</v>
      </c>
      <c r="R96" s="404" t="s">
        <v>267</v>
      </c>
      <c r="S96" s="335"/>
      <c r="T96" s="8">
        <v>260000</v>
      </c>
      <c r="U96" s="237" t="s">
        <v>1000</v>
      </c>
      <c r="V96" s="336" t="s">
        <v>219</v>
      </c>
      <c r="W96" s="335"/>
      <c r="X96" s="13">
        <v>550000</v>
      </c>
      <c r="Y96" s="388" t="s">
        <v>984</v>
      </c>
      <c r="Z96" s="322" t="s">
        <v>273</v>
      </c>
      <c r="AA96" s="356"/>
      <c r="AB96" s="8">
        <v>63922.46</v>
      </c>
      <c r="AC96" s="337" t="s">
        <v>545</v>
      </c>
      <c r="AD96" s="322" t="s">
        <v>273</v>
      </c>
      <c r="AE96" s="327"/>
      <c r="AF96" s="13">
        <v>339600</v>
      </c>
      <c r="AG96" s="337" t="s">
        <v>473</v>
      </c>
      <c r="AH96" s="322" t="s">
        <v>1001</v>
      </c>
      <c r="AI96" s="327"/>
      <c r="AJ96" s="3">
        <v>7500000</v>
      </c>
      <c r="AK96" s="347" t="s">
        <v>1002</v>
      </c>
      <c r="AL96" s="353" t="s">
        <v>273</v>
      </c>
      <c r="AM96" s="327"/>
      <c r="AN96" s="13">
        <v>115720</v>
      </c>
      <c r="AO96" s="337" t="s">
        <v>634</v>
      </c>
      <c r="AP96" s="322" t="s">
        <v>273</v>
      </c>
      <c r="AQ96" s="356"/>
      <c r="AR96" s="13">
        <v>20000</v>
      </c>
      <c r="AS96" s="337" t="s">
        <v>1003</v>
      </c>
    </row>
    <row r="97" spans="14:45" x14ac:dyDescent="0.25">
      <c r="N97" s="400"/>
      <c r="O97" s="383"/>
      <c r="P97" s="8">
        <v>22216.01</v>
      </c>
      <c r="Q97" s="337" t="s">
        <v>1004</v>
      </c>
      <c r="R97" s="404" t="s">
        <v>267</v>
      </c>
      <c r="S97" s="335"/>
      <c r="T97" s="8">
        <v>150000</v>
      </c>
      <c r="U97" s="237" t="s">
        <v>514</v>
      </c>
      <c r="V97" s="336" t="s">
        <v>219</v>
      </c>
      <c r="W97" s="335"/>
      <c r="X97" s="13">
        <v>167551.9</v>
      </c>
      <c r="Y97" s="337" t="s">
        <v>1005</v>
      </c>
      <c r="Z97" s="322" t="s">
        <v>273</v>
      </c>
      <c r="AA97" s="356"/>
      <c r="AB97" s="8">
        <v>410300</v>
      </c>
      <c r="AC97" s="337" t="s">
        <v>1006</v>
      </c>
      <c r="AD97" s="322" t="s">
        <v>273</v>
      </c>
      <c r="AE97" s="327"/>
      <c r="AF97" s="13">
        <v>2381433.5</v>
      </c>
      <c r="AG97" s="337" t="s">
        <v>1007</v>
      </c>
      <c r="AH97" s="322" t="s">
        <v>314</v>
      </c>
      <c r="AI97" s="327"/>
      <c r="AJ97" s="3">
        <v>277951.84000000003</v>
      </c>
      <c r="AK97" s="347" t="s">
        <v>1008</v>
      </c>
      <c r="AL97" s="353" t="s">
        <v>228</v>
      </c>
      <c r="AM97" s="327"/>
      <c r="AN97" s="13">
        <v>300000</v>
      </c>
      <c r="AO97" s="337" t="s">
        <v>1009</v>
      </c>
      <c r="AP97" s="322" t="s">
        <v>219</v>
      </c>
      <c r="AQ97" s="356"/>
      <c r="AR97" s="13">
        <v>20000</v>
      </c>
      <c r="AS97" s="337" t="s">
        <v>1010</v>
      </c>
    </row>
    <row r="98" spans="14:45" x14ac:dyDescent="0.25">
      <c r="N98" s="400"/>
      <c r="O98" s="383"/>
      <c r="P98" s="8">
        <v>50000</v>
      </c>
      <c r="Q98" s="337" t="s">
        <v>1011</v>
      </c>
      <c r="R98" s="404" t="s">
        <v>267</v>
      </c>
      <c r="S98" s="335"/>
      <c r="T98" s="8">
        <v>500000</v>
      </c>
      <c r="U98" s="237" t="s">
        <v>318</v>
      </c>
      <c r="V98" s="336" t="s">
        <v>273</v>
      </c>
      <c r="W98" s="335"/>
      <c r="X98" s="13">
        <v>100000</v>
      </c>
      <c r="Y98" s="388" t="s">
        <v>623</v>
      </c>
      <c r="Z98" s="322" t="s">
        <v>273</v>
      </c>
      <c r="AA98" s="356"/>
      <c r="AB98" s="8">
        <v>2712000</v>
      </c>
      <c r="AC98" s="337" t="s">
        <v>1012</v>
      </c>
      <c r="AD98" s="322" t="s">
        <v>273</v>
      </c>
      <c r="AE98" s="327"/>
      <c r="AF98" s="13">
        <v>1224256</v>
      </c>
      <c r="AG98" s="337" t="s">
        <v>410</v>
      </c>
      <c r="AH98" s="322" t="s">
        <v>314</v>
      </c>
      <c r="AI98" s="327"/>
      <c r="AJ98" s="3">
        <v>201764</v>
      </c>
      <c r="AK98" s="347" t="s">
        <v>1013</v>
      </c>
      <c r="AL98" s="353" t="s">
        <v>273</v>
      </c>
      <c r="AM98" s="327"/>
      <c r="AN98" s="13">
        <v>150000</v>
      </c>
      <c r="AO98" s="337" t="s">
        <v>936</v>
      </c>
      <c r="AP98" s="322" t="s">
        <v>273</v>
      </c>
      <c r="AQ98" s="356"/>
      <c r="AR98" s="13">
        <v>145500</v>
      </c>
      <c r="AS98" s="337" t="s">
        <v>447</v>
      </c>
    </row>
    <row r="99" spans="14:45" x14ac:dyDescent="0.25">
      <c r="N99" s="400"/>
      <c r="O99" s="383"/>
      <c r="P99" s="8">
        <v>50000</v>
      </c>
      <c r="Q99" s="337" t="s">
        <v>596</v>
      </c>
      <c r="R99" s="404" t="s">
        <v>267</v>
      </c>
      <c r="S99" s="335"/>
      <c r="T99" s="8"/>
      <c r="U99" s="237"/>
      <c r="V99" s="336"/>
      <c r="W99" s="335"/>
      <c r="X99" s="13">
        <v>100000</v>
      </c>
      <c r="Y99" s="337" t="s">
        <v>775</v>
      </c>
      <c r="Z99" s="322" t="s">
        <v>267</v>
      </c>
      <c r="AA99" s="331"/>
      <c r="AB99" s="8">
        <v>15000</v>
      </c>
      <c r="AC99" s="337" t="s">
        <v>1014</v>
      </c>
      <c r="AD99" s="322" t="s">
        <v>267</v>
      </c>
      <c r="AE99" s="327"/>
      <c r="AF99" s="13">
        <v>137395.5</v>
      </c>
      <c r="AG99" s="337" t="s">
        <v>359</v>
      </c>
      <c r="AH99" s="322" t="s">
        <v>874</v>
      </c>
      <c r="AI99" s="327"/>
      <c r="AJ99" s="3">
        <v>450000</v>
      </c>
      <c r="AK99" s="347" t="s">
        <v>1015</v>
      </c>
      <c r="AL99" s="353" t="s">
        <v>273</v>
      </c>
      <c r="AM99" s="327"/>
      <c r="AN99" s="13">
        <v>16310</v>
      </c>
      <c r="AO99" s="337" t="s">
        <v>500</v>
      </c>
      <c r="AP99" s="322" t="s">
        <v>267</v>
      </c>
      <c r="AQ99" s="356"/>
      <c r="AR99" s="13">
        <v>379200</v>
      </c>
      <c r="AS99" s="337" t="s">
        <v>485</v>
      </c>
    </row>
    <row r="100" spans="14:45" x14ac:dyDescent="0.25">
      <c r="N100" s="400"/>
      <c r="O100" s="383"/>
      <c r="P100" s="8">
        <v>50000</v>
      </c>
      <c r="Q100" s="337" t="s">
        <v>588</v>
      </c>
      <c r="R100" s="404" t="s">
        <v>267</v>
      </c>
      <c r="S100" s="335"/>
      <c r="T100" s="8"/>
      <c r="U100" s="237"/>
      <c r="V100" s="336"/>
      <c r="W100" s="335"/>
      <c r="X100" s="13">
        <v>40000</v>
      </c>
      <c r="Y100" s="388" t="s">
        <v>1016</v>
      </c>
      <c r="Z100" s="322" t="s">
        <v>267</v>
      </c>
      <c r="AA100" s="383"/>
      <c r="AB100" s="8">
        <v>58000</v>
      </c>
      <c r="AC100" s="337" t="s">
        <v>1017</v>
      </c>
      <c r="AD100" s="322" t="s">
        <v>267</v>
      </c>
      <c r="AE100" s="327"/>
      <c r="AF100" s="13">
        <v>100000</v>
      </c>
      <c r="AG100" s="337" t="s">
        <v>1018</v>
      </c>
      <c r="AH100" s="322" t="s">
        <v>219</v>
      </c>
      <c r="AI100" s="327"/>
      <c r="AJ100" s="3">
        <v>50000</v>
      </c>
      <c r="AK100" s="347" t="s">
        <v>1019</v>
      </c>
      <c r="AL100" s="353" t="s">
        <v>267</v>
      </c>
      <c r="AM100" s="327"/>
      <c r="AN100" s="13">
        <v>45354.6</v>
      </c>
      <c r="AO100" s="337" t="s">
        <v>1020</v>
      </c>
      <c r="AP100" s="322" t="s">
        <v>273</v>
      </c>
      <c r="AQ100" s="356"/>
      <c r="AR100" s="13">
        <v>60000</v>
      </c>
      <c r="AS100" s="337" t="s">
        <v>1021</v>
      </c>
    </row>
    <row r="101" spans="14:45" x14ac:dyDescent="0.25">
      <c r="N101" s="400"/>
      <c r="O101" s="383"/>
      <c r="P101" s="8">
        <v>50000</v>
      </c>
      <c r="Q101" s="337" t="s">
        <v>579</v>
      </c>
      <c r="R101" s="404" t="s">
        <v>267</v>
      </c>
      <c r="S101" s="335"/>
      <c r="T101" s="8"/>
      <c r="U101" s="237"/>
      <c r="V101" s="336"/>
      <c r="W101" s="335"/>
      <c r="X101" s="13">
        <v>258400</v>
      </c>
      <c r="Y101" s="337" t="s">
        <v>1022</v>
      </c>
      <c r="Z101" s="384" t="s">
        <v>273</v>
      </c>
      <c r="AA101" s="391"/>
      <c r="AB101" s="8">
        <v>300000</v>
      </c>
      <c r="AC101" s="337" t="s">
        <v>1023</v>
      </c>
      <c r="AD101" s="322" t="s">
        <v>219</v>
      </c>
      <c r="AE101" s="327"/>
      <c r="AF101" s="13">
        <v>792786.96</v>
      </c>
      <c r="AG101" s="337" t="s">
        <v>1024</v>
      </c>
      <c r="AH101" s="322" t="s">
        <v>314</v>
      </c>
      <c r="AI101" s="327"/>
      <c r="AJ101" s="3">
        <v>1000000</v>
      </c>
      <c r="AK101" s="347" t="s">
        <v>318</v>
      </c>
      <c r="AL101" s="353" t="s">
        <v>273</v>
      </c>
      <c r="AM101" s="327"/>
      <c r="AN101" s="13">
        <v>180000</v>
      </c>
      <c r="AO101" s="337" t="s">
        <v>1025</v>
      </c>
      <c r="AP101" s="322" t="s">
        <v>273</v>
      </c>
      <c r="AQ101" s="356"/>
      <c r="AR101" s="13">
        <v>216473</v>
      </c>
      <c r="AS101" s="337" t="s">
        <v>1026</v>
      </c>
    </row>
    <row r="102" spans="14:45" x14ac:dyDescent="0.25">
      <c r="N102" s="400"/>
      <c r="O102" s="383"/>
      <c r="P102" s="105">
        <v>50000</v>
      </c>
      <c r="Q102" s="409" t="s">
        <v>398</v>
      </c>
      <c r="R102" s="410" t="s">
        <v>267</v>
      </c>
      <c r="S102" s="335"/>
      <c r="T102" s="8"/>
      <c r="U102" s="237"/>
      <c r="V102" s="336"/>
      <c r="W102" s="335"/>
      <c r="X102" s="13">
        <v>400000</v>
      </c>
      <c r="Y102" s="388" t="s">
        <v>1027</v>
      </c>
      <c r="Z102" s="389" t="s">
        <v>273</v>
      </c>
      <c r="AA102" s="391"/>
      <c r="AB102" s="8">
        <v>43041.75</v>
      </c>
      <c r="AC102" s="337" t="s">
        <v>1028</v>
      </c>
      <c r="AD102" s="322" t="s">
        <v>273</v>
      </c>
      <c r="AE102" s="327"/>
      <c r="AF102" s="13">
        <v>110000</v>
      </c>
      <c r="AG102" s="337" t="s">
        <v>1029</v>
      </c>
      <c r="AH102" s="322" t="s">
        <v>314</v>
      </c>
      <c r="AI102" s="327"/>
      <c r="AJ102" s="3">
        <v>450000</v>
      </c>
      <c r="AK102" s="347" t="s">
        <v>1030</v>
      </c>
      <c r="AL102" s="353" t="s">
        <v>273</v>
      </c>
      <c r="AM102" s="327"/>
      <c r="AN102" s="13">
        <v>90000</v>
      </c>
      <c r="AO102" s="337" t="s">
        <v>701</v>
      </c>
      <c r="AP102" s="322" t="s">
        <v>273</v>
      </c>
      <c r="AQ102" s="356"/>
      <c r="AR102" s="13">
        <v>45700</v>
      </c>
      <c r="AS102" s="337" t="s">
        <v>1031</v>
      </c>
    </row>
    <row r="103" spans="14:45" x14ac:dyDescent="0.25">
      <c r="N103" s="400"/>
      <c r="O103" s="383"/>
      <c r="P103" s="105">
        <v>2394190</v>
      </c>
      <c r="Q103" s="409" t="s">
        <v>272</v>
      </c>
      <c r="R103" s="410" t="s">
        <v>273</v>
      </c>
      <c r="S103" s="335"/>
      <c r="T103" s="8"/>
      <c r="U103" s="237"/>
      <c r="V103" s="336"/>
      <c r="W103" s="327"/>
      <c r="X103" s="13">
        <v>430000</v>
      </c>
      <c r="Y103" s="388" t="s">
        <v>1032</v>
      </c>
      <c r="Z103" s="389" t="s">
        <v>273</v>
      </c>
      <c r="AA103" s="391"/>
      <c r="AB103" s="8">
        <v>118000</v>
      </c>
      <c r="AC103" s="337" t="s">
        <v>275</v>
      </c>
      <c r="AD103" s="322" t="s">
        <v>219</v>
      </c>
      <c r="AE103" s="327"/>
      <c r="AF103" s="13">
        <v>20000</v>
      </c>
      <c r="AG103" s="337" t="s">
        <v>1033</v>
      </c>
      <c r="AH103" s="322" t="s">
        <v>267</v>
      </c>
      <c r="AI103" s="327"/>
      <c r="AJ103" s="3">
        <v>52200</v>
      </c>
      <c r="AK103" s="347" t="s">
        <v>1034</v>
      </c>
      <c r="AL103" s="353" t="s">
        <v>219</v>
      </c>
      <c r="AM103" s="327"/>
      <c r="AN103" s="13">
        <v>2000</v>
      </c>
      <c r="AO103" s="337" t="s">
        <v>227</v>
      </c>
      <c r="AP103" s="322" t="s">
        <v>273</v>
      </c>
      <c r="AQ103" s="356"/>
      <c r="AR103" s="13">
        <v>130000</v>
      </c>
      <c r="AS103" s="337" t="s">
        <v>1035</v>
      </c>
    </row>
    <row r="104" spans="14:45" x14ac:dyDescent="0.25">
      <c r="N104" s="400"/>
      <c r="O104" s="383"/>
      <c r="P104" s="105">
        <v>52600</v>
      </c>
      <c r="Q104" s="409" t="s">
        <v>628</v>
      </c>
      <c r="R104" s="410" t="s">
        <v>267</v>
      </c>
      <c r="S104" s="335"/>
      <c r="T104" s="8"/>
      <c r="U104" s="237"/>
      <c r="V104" s="336"/>
      <c r="W104" s="327"/>
      <c r="X104" s="13">
        <v>162000</v>
      </c>
      <c r="Y104" s="337" t="s">
        <v>771</v>
      </c>
      <c r="Z104" s="384" t="s">
        <v>273</v>
      </c>
      <c r="AA104" s="391"/>
      <c r="AB104" s="8">
        <v>55000</v>
      </c>
      <c r="AC104" s="337" t="s">
        <v>1036</v>
      </c>
      <c r="AD104" s="322" t="s">
        <v>267</v>
      </c>
      <c r="AE104" s="327"/>
      <c r="AF104" s="13">
        <v>100000</v>
      </c>
      <c r="AG104" s="337" t="s">
        <v>1037</v>
      </c>
      <c r="AH104" s="322" t="s">
        <v>219</v>
      </c>
      <c r="AI104" s="327"/>
      <c r="AJ104" s="3">
        <v>80000</v>
      </c>
      <c r="AK104" s="347" t="s">
        <v>1038</v>
      </c>
      <c r="AL104" s="353" t="s">
        <v>273</v>
      </c>
      <c r="AM104" s="327"/>
      <c r="AN104" s="13">
        <v>450086.38</v>
      </c>
      <c r="AO104" s="337" t="s">
        <v>413</v>
      </c>
      <c r="AP104" s="322" t="s">
        <v>273</v>
      </c>
      <c r="AQ104" s="356"/>
      <c r="AR104" s="13">
        <v>290310</v>
      </c>
      <c r="AS104" s="337" t="s">
        <v>779</v>
      </c>
    </row>
    <row r="105" spans="14:45" x14ac:dyDescent="0.25">
      <c r="N105" s="400"/>
      <c r="O105" s="383"/>
      <c r="P105" s="105">
        <v>50000</v>
      </c>
      <c r="Q105" s="409" t="s">
        <v>922</v>
      </c>
      <c r="R105" s="410" t="s">
        <v>267</v>
      </c>
      <c r="S105" s="335"/>
      <c r="T105" s="8"/>
      <c r="U105" s="237"/>
      <c r="V105" s="336"/>
      <c r="W105" s="327"/>
      <c r="X105" s="13">
        <v>250000</v>
      </c>
      <c r="Y105" s="388" t="s">
        <v>1039</v>
      </c>
      <c r="Z105" s="389" t="s">
        <v>267</v>
      </c>
      <c r="AA105" s="391"/>
      <c r="AB105" s="8">
        <v>424500</v>
      </c>
      <c r="AC105" s="337" t="s">
        <v>473</v>
      </c>
      <c r="AD105" s="322" t="s">
        <v>273</v>
      </c>
      <c r="AE105" s="327"/>
      <c r="AF105" s="13">
        <v>39650</v>
      </c>
      <c r="AG105" s="337" t="s">
        <v>1031</v>
      </c>
      <c r="AH105" s="322" t="s">
        <v>267</v>
      </c>
      <c r="AI105" s="327"/>
      <c r="AJ105" s="3">
        <v>693000</v>
      </c>
      <c r="AK105" s="347" t="s">
        <v>496</v>
      </c>
      <c r="AL105" s="353" t="s">
        <v>273</v>
      </c>
      <c r="AM105" s="327"/>
      <c r="AN105" s="13">
        <v>1362030</v>
      </c>
      <c r="AO105" s="337" t="s">
        <v>1040</v>
      </c>
      <c r="AP105" s="322" t="s">
        <v>273</v>
      </c>
      <c r="AQ105" s="356"/>
      <c r="AR105" s="13">
        <v>1000000</v>
      </c>
      <c r="AS105" s="337" t="s">
        <v>1041</v>
      </c>
    </row>
    <row r="106" spans="14:45" x14ac:dyDescent="0.25">
      <c r="N106" s="400"/>
      <c r="O106" s="383"/>
      <c r="P106" s="105">
        <v>1399999</v>
      </c>
      <c r="Q106" s="409" t="s">
        <v>1042</v>
      </c>
      <c r="R106" s="410" t="s">
        <v>273</v>
      </c>
      <c r="S106" s="335"/>
      <c r="T106" s="8"/>
      <c r="U106" s="237"/>
      <c r="V106" s="336"/>
      <c r="W106" s="327"/>
      <c r="X106" s="13">
        <v>500000</v>
      </c>
      <c r="Y106" s="388" t="s">
        <v>318</v>
      </c>
      <c r="Z106" s="389" t="s">
        <v>273</v>
      </c>
      <c r="AA106" s="385"/>
      <c r="AB106" s="8">
        <v>486500</v>
      </c>
      <c r="AC106" s="337" t="s">
        <v>390</v>
      </c>
      <c r="AD106" s="322" t="s">
        <v>219</v>
      </c>
      <c r="AE106" s="327"/>
      <c r="AF106" s="13">
        <v>349999</v>
      </c>
      <c r="AG106" s="337" t="s">
        <v>286</v>
      </c>
      <c r="AH106" s="322" t="s">
        <v>1043</v>
      </c>
      <c r="AI106" s="327"/>
      <c r="AJ106" s="3">
        <v>303816.25</v>
      </c>
      <c r="AK106" s="347" t="s">
        <v>1044</v>
      </c>
      <c r="AL106" s="353" t="s">
        <v>273</v>
      </c>
      <c r="AM106" s="327"/>
      <c r="AN106" s="13">
        <v>179000</v>
      </c>
      <c r="AO106" s="337" t="s">
        <v>784</v>
      </c>
      <c r="AP106" s="322" t="s">
        <v>219</v>
      </c>
      <c r="AQ106" s="356"/>
      <c r="AR106" s="13">
        <v>1000000</v>
      </c>
      <c r="AS106" s="337" t="s">
        <v>1045</v>
      </c>
    </row>
    <row r="107" spans="14:45" x14ac:dyDescent="0.25">
      <c r="N107" s="400"/>
      <c r="O107" s="383"/>
      <c r="P107" s="105">
        <v>75000</v>
      </c>
      <c r="Q107" s="409" t="s">
        <v>1046</v>
      </c>
      <c r="R107" s="410" t="s">
        <v>267</v>
      </c>
      <c r="S107" s="335"/>
      <c r="T107" s="8"/>
      <c r="U107" s="237"/>
      <c r="V107" s="336"/>
      <c r="W107" s="327"/>
      <c r="X107" s="13">
        <v>300000</v>
      </c>
      <c r="Y107" s="337" t="s">
        <v>593</v>
      </c>
      <c r="Z107" s="322" t="s">
        <v>219</v>
      </c>
      <c r="AA107" s="331"/>
      <c r="AB107" s="8">
        <v>248000</v>
      </c>
      <c r="AC107" s="337" t="s">
        <v>1047</v>
      </c>
      <c r="AD107" s="322" t="s">
        <v>219</v>
      </c>
      <c r="AE107" s="327"/>
      <c r="AF107" s="13">
        <v>280000</v>
      </c>
      <c r="AG107" s="337" t="s">
        <v>1048</v>
      </c>
      <c r="AH107" s="384"/>
      <c r="AI107" s="408"/>
      <c r="AJ107" s="3">
        <v>247498.12</v>
      </c>
      <c r="AK107" s="347" t="s">
        <v>1049</v>
      </c>
      <c r="AL107" s="353" t="s">
        <v>273</v>
      </c>
      <c r="AM107" s="327"/>
      <c r="AN107" s="13">
        <v>1628854.52</v>
      </c>
      <c r="AO107" s="337" t="s">
        <v>410</v>
      </c>
      <c r="AP107" s="322" t="s">
        <v>273</v>
      </c>
      <c r="AQ107" s="356"/>
      <c r="AR107" s="13">
        <v>34000</v>
      </c>
      <c r="AS107" s="337" t="s">
        <v>1050</v>
      </c>
    </row>
    <row r="108" spans="14:45" x14ac:dyDescent="0.25">
      <c r="N108" s="400"/>
      <c r="O108" s="383"/>
      <c r="P108" s="411">
        <v>122950</v>
      </c>
      <c r="Q108" s="409" t="s">
        <v>697</v>
      </c>
      <c r="R108" s="410" t="s">
        <v>267</v>
      </c>
      <c r="S108" s="335"/>
      <c r="T108" s="8"/>
      <c r="U108" s="237"/>
      <c r="V108" s="336"/>
      <c r="W108" s="327"/>
      <c r="X108" s="13">
        <v>100000</v>
      </c>
      <c r="Y108" s="388" t="s">
        <v>623</v>
      </c>
      <c r="Z108" s="322" t="s">
        <v>267</v>
      </c>
      <c r="AA108" s="383"/>
      <c r="AB108" s="8">
        <v>40000</v>
      </c>
      <c r="AC108" s="337" t="s">
        <v>1051</v>
      </c>
      <c r="AD108" s="322" t="s">
        <v>219</v>
      </c>
      <c r="AE108" s="327"/>
      <c r="AF108" s="13"/>
      <c r="AG108" s="337" t="s">
        <v>1052</v>
      </c>
      <c r="AH108" s="322"/>
      <c r="AI108" s="327"/>
      <c r="AJ108" s="3">
        <v>163000</v>
      </c>
      <c r="AK108" s="347" t="s">
        <v>1053</v>
      </c>
      <c r="AL108" s="353" t="s">
        <v>273</v>
      </c>
      <c r="AM108" s="327"/>
      <c r="AN108" s="13">
        <v>49000</v>
      </c>
      <c r="AO108" s="337" t="s">
        <v>515</v>
      </c>
      <c r="AP108" s="322" t="s">
        <v>273</v>
      </c>
      <c r="AQ108" s="356"/>
      <c r="AR108" s="13">
        <v>141958.6</v>
      </c>
      <c r="AS108" s="337" t="s">
        <v>1054</v>
      </c>
    </row>
    <row r="109" spans="14:45" x14ac:dyDescent="0.25">
      <c r="N109" s="400"/>
      <c r="O109" s="383"/>
      <c r="P109" s="8">
        <v>85000</v>
      </c>
      <c r="Q109" s="337" t="s">
        <v>1055</v>
      </c>
      <c r="R109" s="410" t="s">
        <v>273</v>
      </c>
      <c r="S109" s="335"/>
      <c r="T109" s="8"/>
      <c r="U109" s="237"/>
      <c r="V109" s="336"/>
      <c r="W109" s="327"/>
      <c r="X109" s="13">
        <v>100000</v>
      </c>
      <c r="Y109" s="337" t="s">
        <v>398</v>
      </c>
      <c r="Z109" s="384" t="s">
        <v>267</v>
      </c>
      <c r="AA109" s="391"/>
      <c r="AB109" s="8">
        <v>175000</v>
      </c>
      <c r="AC109" s="337" t="s">
        <v>1056</v>
      </c>
      <c r="AD109" s="322" t="s">
        <v>267</v>
      </c>
      <c r="AE109" s="327"/>
      <c r="AF109" s="13">
        <v>12000</v>
      </c>
      <c r="AG109" s="337" t="s">
        <v>374</v>
      </c>
      <c r="AH109" s="322" t="s">
        <v>219</v>
      </c>
      <c r="AI109" s="327"/>
      <c r="AJ109" s="3">
        <v>54000</v>
      </c>
      <c r="AK109" s="347" t="s">
        <v>1057</v>
      </c>
      <c r="AL109" s="353" t="s">
        <v>273</v>
      </c>
      <c r="AM109" s="327"/>
      <c r="AN109" s="13">
        <v>82416</v>
      </c>
      <c r="AO109" s="337" t="s">
        <v>1058</v>
      </c>
      <c r="AP109" s="322" t="s">
        <v>228</v>
      </c>
      <c r="AQ109" s="356"/>
      <c r="AR109" s="13">
        <v>1785560</v>
      </c>
      <c r="AS109" s="337" t="s">
        <v>1059</v>
      </c>
    </row>
    <row r="110" spans="14:45" x14ac:dyDescent="0.25">
      <c r="N110" s="400"/>
      <c r="O110" s="383"/>
      <c r="P110" s="8">
        <v>104570.06</v>
      </c>
      <c r="Q110" s="337" t="s">
        <v>426</v>
      </c>
      <c r="R110" s="410" t="s">
        <v>273</v>
      </c>
      <c r="S110" s="335"/>
      <c r="T110" s="8"/>
      <c r="U110" s="237"/>
      <c r="V110" s="336"/>
      <c r="W110" s="327"/>
      <c r="X110" s="13">
        <v>1200000</v>
      </c>
      <c r="Y110" s="388" t="s">
        <v>1060</v>
      </c>
      <c r="Z110" s="389" t="s">
        <v>273</v>
      </c>
      <c r="AA110" s="385"/>
      <c r="AB110" s="8">
        <v>100000</v>
      </c>
      <c r="AC110" s="337" t="s">
        <v>579</v>
      </c>
      <c r="AD110" s="322" t="s">
        <v>219</v>
      </c>
      <c r="AE110" s="327"/>
      <c r="AF110" s="13">
        <v>50000</v>
      </c>
      <c r="AG110" s="337" t="s">
        <v>1061</v>
      </c>
      <c r="AH110" s="322" t="s">
        <v>219</v>
      </c>
      <c r="AI110" s="327"/>
      <c r="AJ110" s="3">
        <v>9000</v>
      </c>
      <c r="AK110" s="347" t="s">
        <v>1062</v>
      </c>
      <c r="AL110" s="353" t="s">
        <v>267</v>
      </c>
      <c r="AM110" s="327"/>
      <c r="AN110" s="13">
        <v>201764</v>
      </c>
      <c r="AO110" s="337" t="s">
        <v>1063</v>
      </c>
      <c r="AP110" s="322" t="s">
        <v>521</v>
      </c>
      <c r="AQ110" s="356"/>
      <c r="AR110" s="13">
        <v>1605780</v>
      </c>
      <c r="AS110" s="337" t="s">
        <v>272</v>
      </c>
    </row>
    <row r="111" spans="14:45" x14ac:dyDescent="0.25">
      <c r="N111" s="400"/>
      <c r="O111" s="383"/>
      <c r="P111" s="8">
        <v>16000</v>
      </c>
      <c r="Q111" s="337" t="s">
        <v>1064</v>
      </c>
      <c r="R111" s="410" t="s">
        <v>267</v>
      </c>
      <c r="S111" s="335"/>
      <c r="T111" s="8"/>
      <c r="U111" s="237"/>
      <c r="V111" s="336"/>
      <c r="W111" s="327"/>
      <c r="X111" s="13">
        <v>43080</v>
      </c>
      <c r="Y111" s="388" t="s">
        <v>414</v>
      </c>
      <c r="Z111" s="389" t="s">
        <v>273</v>
      </c>
      <c r="AA111" s="408"/>
      <c r="AB111" s="8">
        <v>100000</v>
      </c>
      <c r="AC111" s="337" t="s">
        <v>596</v>
      </c>
      <c r="AD111" s="322" t="s">
        <v>219</v>
      </c>
      <c r="AE111" s="327"/>
      <c r="AF111" s="13">
        <v>200000</v>
      </c>
      <c r="AG111" s="337" t="s">
        <v>1065</v>
      </c>
      <c r="AH111" s="322" t="s">
        <v>219</v>
      </c>
      <c r="AI111" s="327"/>
      <c r="AJ111" s="3">
        <v>440000</v>
      </c>
      <c r="AK111" s="347" t="s">
        <v>1066</v>
      </c>
      <c r="AL111" s="353" t="s">
        <v>273</v>
      </c>
      <c r="AM111" s="327"/>
      <c r="AN111" s="13">
        <v>48400</v>
      </c>
      <c r="AO111" s="337" t="s">
        <v>1067</v>
      </c>
      <c r="AP111" s="322" t="s">
        <v>267</v>
      </c>
      <c r="AQ111" s="356"/>
      <c r="AR111" s="13">
        <v>798720</v>
      </c>
      <c r="AS111" s="337" t="s">
        <v>1068</v>
      </c>
    </row>
    <row r="112" spans="14:45" x14ac:dyDescent="0.25">
      <c r="N112" s="400"/>
      <c r="O112" s="383"/>
      <c r="P112" s="8">
        <v>166980</v>
      </c>
      <c r="Q112" s="337" t="s">
        <v>1069</v>
      </c>
      <c r="R112" s="410" t="s">
        <v>273</v>
      </c>
      <c r="S112" s="335"/>
      <c r="T112" s="8"/>
      <c r="U112" s="237"/>
      <c r="V112" s="336"/>
      <c r="W112" s="327"/>
      <c r="X112" s="13">
        <v>105976.88</v>
      </c>
      <c r="Y112" s="337" t="s">
        <v>1070</v>
      </c>
      <c r="Z112" s="384" t="s">
        <v>273</v>
      </c>
      <c r="AA112" s="385"/>
      <c r="AB112" s="8">
        <v>100000</v>
      </c>
      <c r="AC112" s="337" t="s">
        <v>588</v>
      </c>
      <c r="AD112" s="322" t="s">
        <v>219</v>
      </c>
      <c r="AE112" s="327"/>
      <c r="AF112" s="13">
        <v>125000</v>
      </c>
      <c r="AG112" s="337" t="s">
        <v>1071</v>
      </c>
      <c r="AH112" s="322" t="s">
        <v>267</v>
      </c>
      <c r="AI112" s="327"/>
      <c r="AJ112" s="3">
        <v>4000</v>
      </c>
      <c r="AK112" s="347" t="s">
        <v>833</v>
      </c>
      <c r="AL112" s="353" t="s">
        <v>267</v>
      </c>
      <c r="AM112" s="327"/>
      <c r="AN112" s="13">
        <v>118000</v>
      </c>
      <c r="AO112" s="337" t="s">
        <v>1072</v>
      </c>
      <c r="AP112" s="322" t="s">
        <v>521</v>
      </c>
      <c r="AQ112" s="356"/>
      <c r="AR112" s="13">
        <v>150000</v>
      </c>
      <c r="AS112" s="337" t="s">
        <v>1073</v>
      </c>
    </row>
    <row r="113" spans="14:45" x14ac:dyDescent="0.25">
      <c r="N113" s="400"/>
      <c r="O113" s="383"/>
      <c r="P113" s="274">
        <v>95500</v>
      </c>
      <c r="Q113" s="388" t="s">
        <v>377</v>
      </c>
      <c r="R113" s="412" t="s">
        <v>267</v>
      </c>
      <c r="S113" s="335"/>
      <c r="T113" s="8"/>
      <c r="U113" s="237"/>
      <c r="V113" s="336"/>
      <c r="W113" s="327"/>
      <c r="X113" s="13">
        <v>74900</v>
      </c>
      <c r="Y113" s="388" t="s">
        <v>723</v>
      </c>
      <c r="Z113" s="322" t="s">
        <v>219</v>
      </c>
      <c r="AA113" s="391"/>
      <c r="AB113" s="8">
        <v>100000</v>
      </c>
      <c r="AC113" s="337" t="s">
        <v>664</v>
      </c>
      <c r="AD113" s="322" t="s">
        <v>219</v>
      </c>
      <c r="AE113" s="327"/>
      <c r="AF113" s="13">
        <v>500000</v>
      </c>
      <c r="AG113" s="337" t="s">
        <v>286</v>
      </c>
      <c r="AH113" s="322" t="s">
        <v>228</v>
      </c>
      <c r="AI113" s="327"/>
      <c r="AJ113" s="3">
        <v>170100</v>
      </c>
      <c r="AK113" s="347" t="s">
        <v>1074</v>
      </c>
      <c r="AL113" s="353" t="s">
        <v>219</v>
      </c>
      <c r="AM113" s="327"/>
      <c r="AN113" s="13">
        <v>600000</v>
      </c>
      <c r="AO113" s="337" t="s">
        <v>706</v>
      </c>
      <c r="AP113" s="322" t="s">
        <v>273</v>
      </c>
      <c r="AQ113" s="356"/>
      <c r="AR113" s="13">
        <v>200000</v>
      </c>
      <c r="AS113" s="337" t="s">
        <v>725</v>
      </c>
    </row>
    <row r="114" spans="14:45" x14ac:dyDescent="0.25">
      <c r="N114" s="400"/>
      <c r="O114" s="383"/>
      <c r="P114" s="40">
        <v>4046584.97</v>
      </c>
      <c r="Q114" s="337" t="s">
        <v>385</v>
      </c>
      <c r="R114" s="404" t="s">
        <v>273</v>
      </c>
      <c r="S114" s="335"/>
      <c r="T114" s="8"/>
      <c r="U114" s="237"/>
      <c r="V114" s="336"/>
      <c r="W114" s="327"/>
      <c r="X114" s="13">
        <v>400000</v>
      </c>
      <c r="Y114" s="337" t="s">
        <v>760</v>
      </c>
      <c r="Z114" s="384" t="s">
        <v>273</v>
      </c>
      <c r="AA114" s="391"/>
      <c r="AB114" s="8">
        <v>39094.800000000003</v>
      </c>
      <c r="AC114" s="337" t="s">
        <v>1075</v>
      </c>
      <c r="AD114" s="322" t="s">
        <v>267</v>
      </c>
      <c r="AE114" s="327"/>
      <c r="AF114" s="13">
        <v>50000</v>
      </c>
      <c r="AG114" s="337" t="s">
        <v>1076</v>
      </c>
      <c r="AH114" s="322" t="s">
        <v>267</v>
      </c>
      <c r="AI114" s="327"/>
      <c r="AJ114" s="3">
        <v>40000</v>
      </c>
      <c r="AK114" s="347" t="s">
        <v>1077</v>
      </c>
      <c r="AL114" s="353" t="s">
        <v>219</v>
      </c>
      <c r="AM114" s="327"/>
      <c r="AN114" s="13">
        <v>700000</v>
      </c>
      <c r="AO114" s="337" t="s">
        <v>644</v>
      </c>
      <c r="AP114" s="322" t="s">
        <v>273</v>
      </c>
      <c r="AQ114" s="356"/>
      <c r="AR114" s="13">
        <v>450000</v>
      </c>
      <c r="AS114" s="337" t="s">
        <v>1078</v>
      </c>
    </row>
    <row r="115" spans="14:45" ht="15.75" x14ac:dyDescent="0.25">
      <c r="N115" s="400"/>
      <c r="O115" s="356"/>
      <c r="P115" s="413">
        <v>70000</v>
      </c>
      <c r="Q115" s="337" t="s">
        <v>1079</v>
      </c>
      <c r="R115" s="404" t="s">
        <v>267</v>
      </c>
      <c r="S115" s="425">
        <f>SUM(T2:T114,'[1]Prof y pub'!P15)</f>
        <v>30623501.420000002</v>
      </c>
      <c r="T115" s="426"/>
      <c r="U115" s="426"/>
      <c r="V115" s="427"/>
      <c r="W115" s="327"/>
      <c r="X115" s="13">
        <v>72000</v>
      </c>
      <c r="Y115" s="337" t="s">
        <v>649</v>
      </c>
      <c r="Z115" s="384" t="s">
        <v>267</v>
      </c>
      <c r="AA115" s="391"/>
      <c r="AB115" s="8">
        <v>126000</v>
      </c>
      <c r="AC115" s="337" t="s">
        <v>1080</v>
      </c>
      <c r="AD115" s="322" t="s">
        <v>267</v>
      </c>
      <c r="AE115" s="327"/>
      <c r="AF115" s="13">
        <v>200000</v>
      </c>
      <c r="AG115" s="337" t="s">
        <v>297</v>
      </c>
      <c r="AH115" s="322" t="s">
        <v>314</v>
      </c>
      <c r="AI115" s="327"/>
      <c r="AJ115" s="3">
        <v>130000</v>
      </c>
      <c r="AK115" s="347" t="s">
        <v>836</v>
      </c>
      <c r="AL115" s="353" t="s">
        <v>273</v>
      </c>
      <c r="AM115" s="327"/>
      <c r="AN115" s="13">
        <v>757059</v>
      </c>
      <c r="AO115" s="337" t="s">
        <v>1081</v>
      </c>
      <c r="AP115" s="381" t="s">
        <v>273</v>
      </c>
      <c r="AQ115" s="356"/>
      <c r="AR115" s="13">
        <v>60000</v>
      </c>
      <c r="AS115" s="337" t="s">
        <v>607</v>
      </c>
    </row>
    <row r="116" spans="14:45" x14ac:dyDescent="0.25">
      <c r="N116" s="400"/>
      <c r="O116" s="356"/>
      <c r="P116" s="148">
        <v>80000</v>
      </c>
      <c r="Q116" s="337" t="s">
        <v>1082</v>
      </c>
      <c r="R116" s="404" t="s">
        <v>267</v>
      </c>
      <c r="W116" s="327"/>
      <c r="X116" s="13">
        <v>290000</v>
      </c>
      <c r="Y116" s="388" t="s">
        <v>1083</v>
      </c>
      <c r="Z116" s="389" t="s">
        <v>219</v>
      </c>
      <c r="AA116" s="391"/>
      <c r="AB116" s="8">
        <v>10350</v>
      </c>
      <c r="AC116" s="337" t="s">
        <v>1084</v>
      </c>
      <c r="AD116" s="322" t="s">
        <v>267</v>
      </c>
      <c r="AE116" s="327"/>
      <c r="AF116" s="13">
        <v>200000</v>
      </c>
      <c r="AG116" s="337" t="s">
        <v>1085</v>
      </c>
      <c r="AH116" s="322" t="s">
        <v>314</v>
      </c>
      <c r="AI116" s="327"/>
      <c r="AJ116" s="3">
        <v>248655</v>
      </c>
      <c r="AK116" s="347" t="s">
        <v>443</v>
      </c>
      <c r="AL116" s="353" t="s">
        <v>273</v>
      </c>
      <c r="AM116" s="327"/>
      <c r="AN116" s="13">
        <v>1208173.8500000001</v>
      </c>
      <c r="AO116" s="338" t="s">
        <v>1086</v>
      </c>
      <c r="AP116" s="322" t="s">
        <v>975</v>
      </c>
      <c r="AQ116" s="356"/>
      <c r="AR116" s="13">
        <v>700000</v>
      </c>
      <c r="AS116" s="337" t="s">
        <v>1087</v>
      </c>
    </row>
    <row r="117" spans="14:45" x14ac:dyDescent="0.25">
      <c r="O117" s="385"/>
      <c r="P117" s="8">
        <v>92000</v>
      </c>
      <c r="Q117" s="337" t="s">
        <v>359</v>
      </c>
      <c r="R117" s="404" t="s">
        <v>267</v>
      </c>
      <c r="W117" s="327"/>
      <c r="X117" s="13">
        <v>4000000</v>
      </c>
      <c r="Y117" s="388" t="s">
        <v>1088</v>
      </c>
      <c r="Z117" s="389" t="s">
        <v>273</v>
      </c>
      <c r="AA117" s="391"/>
      <c r="AB117" s="8">
        <v>249999</v>
      </c>
      <c r="AC117" s="337" t="s">
        <v>1089</v>
      </c>
      <c r="AD117" s="322" t="s">
        <v>267</v>
      </c>
      <c r="AE117" s="327"/>
      <c r="AF117" s="13">
        <v>96000</v>
      </c>
      <c r="AG117" s="337" t="s">
        <v>634</v>
      </c>
      <c r="AH117" s="322" t="s">
        <v>267</v>
      </c>
      <c r="AI117" s="327"/>
      <c r="AJ117" s="3">
        <v>5000</v>
      </c>
      <c r="AK117" s="347" t="s">
        <v>1090</v>
      </c>
      <c r="AL117" s="353" t="s">
        <v>219</v>
      </c>
      <c r="AM117" s="327"/>
      <c r="AN117" s="13">
        <v>10000</v>
      </c>
      <c r="AO117" s="338" t="s">
        <v>607</v>
      </c>
      <c r="AP117" s="322" t="s">
        <v>267</v>
      </c>
      <c r="AQ117" s="356"/>
      <c r="AR117" s="13">
        <v>1500000</v>
      </c>
      <c r="AS117" s="337" t="s">
        <v>1091</v>
      </c>
    </row>
    <row r="118" spans="14:45" x14ac:dyDescent="0.25">
      <c r="O118" s="414"/>
      <c r="P118" s="3">
        <v>70000</v>
      </c>
      <c r="Q118" s="347" t="s">
        <v>1092</v>
      </c>
      <c r="R118" s="404" t="s">
        <v>267</v>
      </c>
      <c r="W118" s="327"/>
      <c r="X118" s="13">
        <v>250000</v>
      </c>
      <c r="Y118" s="337" t="s">
        <v>318</v>
      </c>
      <c r="Z118" s="384" t="s">
        <v>273</v>
      </c>
      <c r="AA118" s="408"/>
      <c r="AB118" s="8">
        <v>10000</v>
      </c>
      <c r="AC118" s="337" t="s">
        <v>1093</v>
      </c>
      <c r="AD118" s="322" t="s">
        <v>219</v>
      </c>
      <c r="AE118" s="327"/>
      <c r="AF118" s="13">
        <v>300000</v>
      </c>
      <c r="AG118" s="337" t="s">
        <v>1094</v>
      </c>
      <c r="AH118" s="322" t="s">
        <v>219</v>
      </c>
      <c r="AI118" s="327"/>
      <c r="AJ118" s="3">
        <v>311000</v>
      </c>
      <c r="AK118" s="347" t="s">
        <v>1095</v>
      </c>
      <c r="AL118" s="353" t="s">
        <v>273</v>
      </c>
      <c r="AM118" s="327"/>
      <c r="AN118" s="13">
        <v>40000</v>
      </c>
      <c r="AO118" s="338" t="s">
        <v>1096</v>
      </c>
      <c r="AP118" s="322" t="s">
        <v>267</v>
      </c>
      <c r="AQ118" s="356"/>
      <c r="AR118" s="13">
        <v>1500000</v>
      </c>
      <c r="AS118" s="337" t="s">
        <v>1097</v>
      </c>
    </row>
    <row r="119" spans="14:45" x14ac:dyDescent="0.25">
      <c r="O119" s="414"/>
      <c r="P119" s="415">
        <v>9100</v>
      </c>
      <c r="Q119" s="347" t="s">
        <v>436</v>
      </c>
      <c r="R119" s="416" t="s">
        <v>267</v>
      </c>
      <c r="W119" s="327"/>
      <c r="X119" s="13"/>
      <c r="Y119" s="388"/>
      <c r="Z119" s="322"/>
      <c r="AA119" s="327"/>
      <c r="AB119" s="8">
        <v>22200</v>
      </c>
      <c r="AC119" s="337" t="s">
        <v>833</v>
      </c>
      <c r="AD119" s="322" t="s">
        <v>267</v>
      </c>
      <c r="AE119" s="327"/>
      <c r="AF119" s="13">
        <v>50000</v>
      </c>
      <c r="AG119" s="337" t="s">
        <v>1098</v>
      </c>
      <c r="AH119" s="322" t="s">
        <v>219</v>
      </c>
      <c r="AI119" s="327"/>
      <c r="AJ119" s="3">
        <v>50000</v>
      </c>
      <c r="AK119" s="347" t="s">
        <v>1099</v>
      </c>
      <c r="AL119" s="353" t="s">
        <v>219</v>
      </c>
      <c r="AM119" s="327"/>
      <c r="AN119" s="13">
        <v>160967.9</v>
      </c>
      <c r="AO119" s="338" t="s">
        <v>714</v>
      </c>
      <c r="AP119" s="322" t="s">
        <v>273</v>
      </c>
      <c r="AQ119" s="356"/>
      <c r="AR119" s="13">
        <v>1200000</v>
      </c>
      <c r="AS119" s="337" t="s">
        <v>1100</v>
      </c>
    </row>
    <row r="120" spans="14:45" x14ac:dyDescent="0.25">
      <c r="O120" s="385"/>
      <c r="P120" s="8">
        <v>27200</v>
      </c>
      <c r="Q120" s="337" t="s">
        <v>1101</v>
      </c>
      <c r="R120" s="416" t="s">
        <v>267</v>
      </c>
      <c r="W120" s="327"/>
      <c r="X120" s="13"/>
      <c r="Y120" s="337"/>
      <c r="Z120" s="384"/>
      <c r="AA120" s="391"/>
      <c r="AB120" s="8">
        <v>280000</v>
      </c>
      <c r="AC120" s="337" t="s">
        <v>1102</v>
      </c>
      <c r="AD120" s="322" t="s">
        <v>1103</v>
      </c>
      <c r="AE120" s="327"/>
      <c r="AF120" s="13">
        <v>1725600</v>
      </c>
      <c r="AG120" s="337" t="s">
        <v>465</v>
      </c>
      <c r="AH120" s="322" t="s">
        <v>314</v>
      </c>
      <c r="AI120" s="327"/>
      <c r="AJ120" s="3">
        <v>500000</v>
      </c>
      <c r="AK120" s="347" t="s">
        <v>1104</v>
      </c>
      <c r="AL120" s="353" t="s">
        <v>273</v>
      </c>
      <c r="AM120" s="327"/>
      <c r="AN120" s="13">
        <v>15000</v>
      </c>
      <c r="AO120" s="338" t="s">
        <v>255</v>
      </c>
      <c r="AP120" s="322" t="s">
        <v>273</v>
      </c>
      <c r="AQ120" s="356"/>
      <c r="AR120" s="13">
        <v>175000</v>
      </c>
      <c r="AS120" s="337" t="s">
        <v>1105</v>
      </c>
    </row>
  </sheetData>
  <mergeCells count="4">
    <mergeCell ref="C81:F81"/>
    <mergeCell ref="G81:I81"/>
    <mergeCell ref="K86:N86"/>
    <mergeCell ref="S115:V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Aumeno</vt:lpstr>
      <vt:lpstr>Empleados</vt:lpstr>
      <vt:lpstr>Prof y pub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 Garay</dc:creator>
  <cp:keywords/>
  <dc:description/>
  <cp:lastModifiedBy>Luciano Garay</cp:lastModifiedBy>
  <cp:revision/>
  <dcterms:created xsi:type="dcterms:W3CDTF">2025-10-15T20:37:43Z</dcterms:created>
  <dcterms:modified xsi:type="dcterms:W3CDTF">2026-03-01T22:10:48Z</dcterms:modified>
  <cp:category/>
  <cp:contentStatus/>
</cp:coreProperties>
</file>